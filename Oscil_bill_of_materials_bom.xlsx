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;&quot;($&quot;#,##0.00\);\-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0"/>
    </font>
    <font>
      <name val="Calibri"/>
      <charset val="1"/>
      <family val="2"/>
      <color theme="10"/>
      <sz val="11"/>
      <u val="single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E2EFDA"/>
        <bgColor rgb="FFD9E2F3"/>
      </patternFill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9" fillId="0" borderId="0" applyAlignment="1">
      <alignment horizontal="general" vertical="bottom"/>
    </xf>
  </cellStyleXfs>
  <cellXfs count="5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164" fontId="5" fillId="0" borderId="1" applyAlignment="1" pivotButton="0" quotePrefix="0" xfId="0">
      <alignment horizontal="general" vertical="center"/>
    </xf>
    <xf numFmtId="0" fontId="9" fillId="0" borderId="0" applyAlignment="1" pivotButton="0" quotePrefix="0" xfId="20">
      <alignment horizontal="general" vertical="bottom"/>
    </xf>
    <xf numFmtId="0" fontId="5" fillId="2" borderId="1" applyAlignment="1" pivotButton="0" quotePrefix="0" xfId="0">
      <alignment horizontal="general" vertical="center"/>
    </xf>
    <xf numFmtId="0" fontId="5" fillId="2" borderId="1" applyAlignment="1" pivotButton="0" quotePrefix="0" xfId="0">
      <alignment horizontal="general" vertical="center" wrapText="1"/>
    </xf>
    <xf numFmtId="164" fontId="5" fillId="2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center"/>
    </xf>
    <xf numFmtId="0" fontId="8" fillId="5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center"/>
    </xf>
    <xf numFmtId="0" fontId="5" fillId="3" borderId="1" applyAlignment="1" pivotButton="0" quotePrefix="0" xfId="0">
      <alignment horizontal="general" vertical="center" wrapText="1"/>
    </xf>
    <xf numFmtId="164" fontId="5" fillId="3" borderId="1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0" fillId="5" borderId="0" applyAlignment="1" pivotButton="0" quotePrefix="0" xfId="0">
      <alignment horizontal="general" vertical="bottom"/>
    </xf>
    <xf numFmtId="164" fontId="0" fillId="3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164" fontId="5" fillId="0" borderId="1" applyAlignment="1" pivotButton="0" quotePrefix="0" xfId="0">
      <alignment horizontal="general" vertical="center"/>
    </xf>
    <xf numFmtId="0" fontId="9" fillId="0" borderId="0" applyAlignment="1" pivotButton="0" quotePrefix="0" xfId="20">
      <alignment horizontal="general" vertical="bottom"/>
    </xf>
    <xf numFmtId="0" fontId="8" fillId="5" borderId="0" applyAlignment="1" pivotButton="0" quotePrefix="0" xfId="0">
      <alignment horizontal="general" vertical="center"/>
    </xf>
    <xf numFmtId="0" fontId="5" fillId="2" borderId="1" applyAlignment="1" pivotButton="0" quotePrefix="0" xfId="0">
      <alignment horizontal="general" vertical="center"/>
    </xf>
    <xf numFmtId="0" fontId="5" fillId="2" borderId="1" applyAlignment="1" pivotButton="0" quotePrefix="0" xfId="0">
      <alignment horizontal="general" vertical="center" wrapText="1"/>
    </xf>
    <xf numFmtId="164" fontId="5" fillId="2" borderId="1" applyAlignment="1" pivotButton="0" quotePrefix="0" xfId="0">
      <alignment horizontal="general" vertical="center"/>
    </xf>
    <xf numFmtId="0" fontId="8" fillId="5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center"/>
    </xf>
    <xf numFmtId="0" fontId="5" fillId="3" borderId="1" applyAlignment="1" pivotButton="0" quotePrefix="0" xfId="0">
      <alignment horizontal="general" vertical="center" wrapText="1"/>
    </xf>
    <xf numFmtId="164" fontId="5" fillId="3" borderId="1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0" fillId="5" borderId="0" applyAlignment="1" pivotButton="0" quotePrefix="0" xfId="0">
      <alignment horizontal="general" vertical="bottom"/>
    </xf>
    <xf numFmtId="164" fontId="0" fillId="3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digikey.com/en/products/detail/texas-instruments/ADS7883SBDBVR/2047152?s=N4IgTCBcDa4JwDYC0AWAHOgDEgjEgcgCIgC6AvkA" TargetMode="External" Id="rId1"/><Relationship Type="http://schemas.openxmlformats.org/officeDocument/2006/relationships/hyperlink" Target="https://www.digikey.com/en/products/detail/microchip-technology/MCP6292-E-P/574102?s=N4IgTCBcDaILIGEAKA2MBOMBaAogeiSwDkAREAXQF8g" TargetMode="External" Id="rId2"/><Relationship Type="http://schemas.openxmlformats.org/officeDocument/2006/relationships/hyperlink" Target="https://www.digikey.com/en/products/detail/smc-diode-solutions/BAV99/6022507?s=N4IgTCBcDaIIwDYCsSC0AhAggNQJy4GEAVVAOQBEQBdAXyA" TargetMode="External" Id="rId3"/><Relationship Type="http://schemas.openxmlformats.org/officeDocument/2006/relationships/hyperlink" Target="https://a.co/d/0cBGTOYl" TargetMode="External" Id="rId4"/><Relationship Type="http://schemas.openxmlformats.org/officeDocument/2006/relationships/hyperlink" Target="https://a.co/d/0bSwA5N5" TargetMode="External" Id="rId5"/><Relationship Type="http://schemas.openxmlformats.org/officeDocument/2006/relationships/hyperlink" Target="https://a.co/d/09HmNMVi" TargetMode="External" Id="rId6"/><Relationship Type="http://schemas.openxmlformats.org/officeDocument/2006/relationships/hyperlink" Target="https://www.amazon.com/dp/B0F4P352BB" TargetMode="External" Id="rId7"/><Relationship Type="http://schemas.openxmlformats.org/officeDocument/2006/relationships/hyperlink" Target="https://a.co/d/0dSCox0r" TargetMode="External" Id="rId8"/><Relationship Type="http://schemas.openxmlformats.org/officeDocument/2006/relationships/hyperlink" Target="https://www.digikey.com/en/products/detail/microchip-technology/MCP1700-3302E-TO/652680?s=N4IgTCBcDaILIGEAKBGA7ABgwWgMy4zAFEB6AFQHlsA5AEQAIQBdAXyA" TargetMode="External" Id="rId9"/><Relationship Type="http://schemas.openxmlformats.org/officeDocument/2006/relationships/hyperlink" Target="https://a.co/d/02AsqIvb" TargetMode="External" Id="rId10"/><Relationship Type="http://schemas.openxmlformats.org/officeDocument/2006/relationships/hyperlink" Target="https://a.co/d/07rz7Fj1" TargetMode="External" Id="rId11"/><Relationship Type="http://schemas.openxmlformats.org/officeDocument/2006/relationships/hyperlink" Target="https://www.digikey.com/en/products/detail/orient-display/AFY800480B0-7-0N12NTM-C/12089250?s=N4IgTCBcDa4KwBYEFoCCAxAmgDgAy4TwCFdkB2EAXQF8g" TargetMode="External" Id="rId12"/><Relationship Type="http://schemas.openxmlformats.org/officeDocument/2006/relationships/hyperlink" Target="https://www.digikey.com/en/products/detail/adafruit-industries-llc/1932/5761222?s=N4IgTCBcDaIAQEYCsYAcBaBAWJX0DkAREAXQF8g" TargetMode="External" Id="rId13"/><Relationship Type="http://schemas.openxmlformats.org/officeDocument/2006/relationships/hyperlink" Target="https://a.co/d/07UskTTP" TargetMode="External" Id="rId14"/><Relationship Type="http://schemas.openxmlformats.org/officeDocument/2006/relationships/hyperlink" Target="https://a.co/d/0f5mQg6T" TargetMode="External" Id="rId15"/><Relationship Type="http://schemas.openxmlformats.org/officeDocument/2006/relationships/hyperlink" Target="https://www.digikey.com/en/products/detail/sullins-connector-solutions/PRPC040SAAN-RC/2775214?s=N4IgTCBcDaIAQGUCMAGJSCiBhAtAFhRwDkAROEAXQF8g" TargetMode="External" Id="rId16"/><Relationship Type="http://schemas.openxmlformats.org/officeDocument/2006/relationships/hyperlink" Target="https://a.co/d/04z6zcu7" TargetMode="External" Id="rId17"/><Relationship Type="http://schemas.openxmlformats.org/officeDocument/2006/relationships/hyperlink" Target="https://a.co/d/0bRym9Uv" TargetMode="External" Id="rId18"/><Relationship Type="http://schemas.openxmlformats.org/officeDocument/2006/relationships/hyperlink" Target="https://a.co/d/0hUidHrU" TargetMode="External" Id="rId19"/><Relationship Type="http://schemas.openxmlformats.org/officeDocument/2006/relationships/hyperlink" Target="https://a.co/d/0aDcLZeU" TargetMode="External" Id="rId2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53"/>
  <sheetViews>
    <sheetView showFormulas="0" showGridLines="1" showRowColHeaders="1" showZeros="1" rightToLeft="0" tabSelected="1" showOutlineSymbols="1" defaultGridColor="1" view="normal" topLeftCell="A1" colorId="64" zoomScale="115" zoomScaleNormal="115" zoomScalePageLayoutView="100" workbookViewId="0">
      <pane xSplit="0" ySplit="5" topLeftCell="A6" activePane="bottomLeft" state="frozen"/>
      <selection pane="topLeft" activeCell="A1" activeCellId="0" sqref="A1"/>
      <selection pane="bottomLeft" activeCell="J41" activeCellId="0" sqref="J41"/>
    </sheetView>
  </sheetViews>
  <sheetFormatPr baseColWidth="8" defaultColWidth="8.6328125" defaultRowHeight="14.25" zeroHeight="0" outlineLevelRow="0"/>
  <cols>
    <col width="5" customWidth="1" style="29" min="1" max="1"/>
    <col width="6" customWidth="1" style="29" min="2" max="2"/>
    <col width="30" customWidth="1" style="29" min="3" max="3"/>
    <col width="44" customWidth="1" style="29" min="4" max="4"/>
    <col width="13" customWidth="1" style="29" min="5" max="5"/>
    <col width="10" customWidth="1" style="29" min="6" max="6"/>
    <col width="11" customWidth="1" style="29" min="7" max="7"/>
    <col width="19" customWidth="1" style="29" min="8" max="8"/>
    <col width="40" customWidth="1" style="29" min="9" max="9"/>
    <col width="73.63" customWidth="1" style="29" min="10" max="10"/>
  </cols>
  <sheetData>
    <row r="1" ht="18" customHeight="1" s="30">
      <c r="A1" s="31" t="inlineStr">
        <is>
          <t>Oscil — Bill of Materials</t>
        </is>
      </c>
    </row>
    <row r="2" ht="14.25" customHeight="1" s="30">
      <c r="A2" s="32" t="inlineStr">
        <is>
          <t>Two-channel digital storage oscilloscope · ESP32-S3 · prototype stage</t>
        </is>
      </c>
      <c r="E2" s="33" t="inlineStr">
        <is>
          <t>Green = already owned</t>
        </is>
      </c>
    </row>
    <row r="3" ht="14.25" customHeight="1" s="30">
      <c r="A3" s="34" t="inlineStr">
        <is>
          <t>Paul Simbulan · Rev 0.4 · 30-Sep-2026</t>
        </is>
      </c>
      <c r="E3" s="35" t="inlineStr">
        <is>
          <t>Amber = gap, not yet sourced</t>
        </is>
      </c>
    </row>
    <row r="5" ht="14.25" customHeight="1" s="30">
      <c r="A5" s="36" t="inlineStr">
        <is>
          <t>#</t>
        </is>
      </c>
      <c r="B5" s="36" t="inlineStr">
        <is>
          <t>Qty</t>
        </is>
      </c>
      <c r="C5" s="36" t="inlineStr">
        <is>
          <t>Part</t>
        </is>
      </c>
      <c r="D5" s="36" t="inlineStr">
        <is>
          <t>Description</t>
        </is>
      </c>
      <c r="E5" s="36" t="inlineStr">
        <is>
          <t>Package</t>
        </is>
      </c>
      <c r="F5" s="36" t="inlineStr">
        <is>
          <t>Unit $</t>
        </is>
      </c>
      <c r="G5" s="36" t="inlineStr">
        <is>
          <t>Ext $</t>
        </is>
      </c>
      <c r="H5" s="36" t="inlineStr">
        <is>
          <t>Source</t>
        </is>
      </c>
      <c r="I5" s="36" t="inlineStr">
        <is>
          <t>Notes</t>
        </is>
      </c>
      <c r="J5" s="36" t="inlineStr">
        <is>
          <t>Link</t>
        </is>
      </c>
    </row>
    <row r="6" ht="14.25" customHeight="1" s="30">
      <c r="A6" s="37" t="inlineStr">
        <is>
          <t>ANALOG FRONT END</t>
        </is>
      </c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</row>
    <row r="7" ht="14.25" customHeight="1" s="30">
      <c r="A7" s="38" t="n">
        <v>1</v>
      </c>
      <c r="B7" s="38" t="n">
        <v>4</v>
      </c>
      <c r="C7" s="38" t="inlineStr">
        <is>
          <t>ADS7883SBDBVR</t>
        </is>
      </c>
      <c r="D7" s="39" t="inlineStr">
        <is>
          <t>ADC, 12-bit 3 MSPS SAR, SPI</t>
        </is>
      </c>
      <c r="E7" s="38" t="inlineStr">
        <is>
          <t>SOT-23-6</t>
        </is>
      </c>
      <c r="F7" s="40" t="n">
        <v>5.53</v>
      </c>
      <c r="G7" s="40">
        <f>B7*F7</f>
        <v/>
      </c>
      <c r="H7" s="38" t="inlineStr">
        <is>
          <t>DigiKey</t>
        </is>
      </c>
      <c r="I7" s="39" t="inlineStr">
        <is>
          <t>Reference = supply rail</t>
        </is>
      </c>
      <c r="J7" s="41" t="inlineStr">
        <is>
          <t>https://www.digikey.com/en/products/detail/texas-instruments/ADS7883SBDBVR/2047152?s=N4IgTCBcDa4JwDYC0AWAHOgDEgjEgcgCIgC6AvkA</t>
        </is>
      </c>
    </row>
    <row r="8" ht="23.85" customHeight="1" s="30">
      <c r="A8" s="38" t="n">
        <v>2</v>
      </c>
      <c r="B8" s="38" t="n">
        <v>4</v>
      </c>
      <c r="C8" s="38" t="inlineStr">
        <is>
          <t>MCP6292-E/P</t>
        </is>
      </c>
      <c r="D8" s="39" t="inlineStr">
        <is>
          <t>Op-amp, dual, 10 MHz, rail-to-rail</t>
        </is>
      </c>
      <c r="E8" s="38" t="inlineStr">
        <is>
          <t>8-PDIP</t>
        </is>
      </c>
      <c r="F8" s="40" t="n">
        <v>1.27</v>
      </c>
      <c r="G8" s="40">
        <f>B8*F8</f>
        <v/>
      </c>
      <c r="H8" s="38" t="inlineStr">
        <is>
          <t>DigiKey</t>
        </is>
      </c>
      <c r="I8" s="39" t="inlineStr">
        <is>
          <t>Ref buffer, AFE ch1, AFE ch2, generator: all 4 used</t>
        </is>
      </c>
      <c r="J8" s="41" t="inlineStr">
        <is>
          <t>https://www.digikey.com/en/products/detail/microchip-technology/MCP6292-E-P/574102?s=N4IgTCBcDaILIGEAKA2MBOMBaAogeiSwDkAREAXQF8g</t>
        </is>
      </c>
    </row>
    <row r="9" ht="14.25" customHeight="1" s="30">
      <c r="A9" s="38" t="n">
        <v>3</v>
      </c>
      <c r="B9" s="38" t="n">
        <v>10</v>
      </c>
      <c r="C9" s="38" t="inlineStr">
        <is>
          <t>BAV99</t>
        </is>
      </c>
      <c r="D9" s="39" t="inlineStr">
        <is>
          <t>Diode array, 75 V</t>
        </is>
      </c>
      <c r="E9" s="38" t="inlineStr">
        <is>
          <t>SOT-23-3</t>
        </is>
      </c>
      <c r="F9" s="40" t="n">
        <v>0.13</v>
      </c>
      <c r="G9" s="40">
        <f>B9*F9</f>
        <v/>
      </c>
      <c r="H9" s="38" t="inlineStr">
        <is>
          <t>DigiKey</t>
        </is>
      </c>
      <c r="I9" s="39" t="inlineStr">
        <is>
          <t>Input clamp to rails</t>
        </is>
      </c>
      <c r="J9" s="41" t="inlineStr">
        <is>
          <t>https://www.digikey.com/en/products/detail/smc-diode-solutions/BAV99/6022507?s=N4IgTCBcDaIIwDYCsSC0AhAggNQJy4GEAVVAOQBEQBdAXyA</t>
        </is>
      </c>
    </row>
    <row r="10" ht="14.25" customHeight="1" s="30">
      <c r="A10" s="38" t="n">
        <v>4</v>
      </c>
      <c r="B10" s="38" t="n">
        <v>12</v>
      </c>
      <c r="C10" s="38" t="inlineStr">
        <is>
          <t>Cylewet CYT1018</t>
        </is>
      </c>
      <c r="D10" s="39" t="inlineStr">
        <is>
          <t>Trimmer capacitors, 5-60 pF</t>
        </is>
      </c>
      <c r="E10" s="38" t="inlineStr">
        <is>
          <t>THT</t>
        </is>
      </c>
      <c r="F10" s="40" t="n">
        <v>0.574</v>
      </c>
      <c r="G10" s="40">
        <f>B10*F10</f>
        <v/>
      </c>
      <c r="H10" s="38" t="inlineStr">
        <is>
          <t>Amazon</t>
        </is>
      </c>
      <c r="I10" s="39" t="inlineStr">
        <is>
          <t>Attenuator compensation</t>
        </is>
      </c>
      <c r="J10" s="41" t="inlineStr">
        <is>
          <t>https://a.co/d/0cBGTOYl</t>
        </is>
      </c>
    </row>
    <row r="11" ht="14.25" customHeight="1" s="30">
      <c r="A11" s="38" t="n">
        <v>5</v>
      </c>
      <c r="B11" s="38" t="n">
        <v>5</v>
      </c>
      <c r="C11" s="38" t="inlineStr">
        <is>
          <t>Superbat BNC</t>
        </is>
      </c>
      <c r="D11" s="39" t="inlineStr">
        <is>
          <t>BNC female panel mount, solder</t>
        </is>
      </c>
      <c r="E11" s="38" t="inlineStr">
        <is>
          <t>Panel</t>
        </is>
      </c>
      <c r="F11" s="40" t="n">
        <v>2.198</v>
      </c>
      <c r="G11" s="40">
        <f>B11*F11</f>
        <v/>
      </c>
      <c r="H11" s="38" t="inlineStr">
        <is>
          <t>Amazon</t>
        </is>
      </c>
      <c r="I11" s="39" t="inlineStr">
        <is>
          <t>CH1, CH2, GEN out, 2 spare</t>
        </is>
      </c>
      <c r="J11" s="41" t="inlineStr">
        <is>
          <t>https://a.co/d/0bSwA5N5</t>
        </is>
      </c>
    </row>
    <row r="12" ht="14.25" customHeight="1" s="30">
      <c r="A12" s="38" t="n">
        <v>6</v>
      </c>
      <c r="B12" s="38" t="n">
        <v>20</v>
      </c>
      <c r="C12" s="38" t="inlineStr">
        <is>
          <t>Cermant SOT23-6 adapter</t>
        </is>
      </c>
      <c r="D12" s="39" t="inlineStr">
        <is>
          <t>SMD to DIP breakout</t>
        </is>
      </c>
      <c r="E12" s="38" t="inlineStr">
        <is>
          <t>PCB</t>
        </is>
      </c>
      <c r="F12" s="40" t="n">
        <v>0.4245</v>
      </c>
      <c r="G12" s="40">
        <f>B12*F12</f>
        <v/>
      </c>
      <c r="H12" s="38" t="inlineStr">
        <is>
          <t>Amazon</t>
        </is>
      </c>
      <c r="I12" s="39" t="inlineStr">
        <is>
          <t>For ADS7883 and BAV99</t>
        </is>
      </c>
      <c r="J12" s="41" t="inlineStr">
        <is>
          <t>https://a.co/d/09HmNMVi</t>
        </is>
      </c>
    </row>
    <row r="13" ht="23.85" customHeight="1" s="30">
      <c r="A13" s="38" t="n">
        <v>7</v>
      </c>
      <c r="B13" s="38" t="n">
        <v>1000</v>
      </c>
      <c r="C13" s="38" t="inlineStr">
        <is>
          <t>LuminologyPro 1000-pc kit</t>
        </is>
      </c>
      <c r="D13" s="39" t="inlineStr">
        <is>
          <t>Resistors 1/4 W 1% metal film, 25 values x 40, 1R-1M</t>
        </is>
      </c>
      <c r="E13" s="38" t="inlineStr">
        <is>
          <t>THT</t>
        </is>
      </c>
      <c r="F13" s="40" t="n">
        <v>0.00639</v>
      </c>
      <c r="G13" s="40">
        <f>B13*F13</f>
        <v/>
      </c>
      <c r="H13" s="38" t="inlineStr">
        <is>
          <t>Amazon</t>
        </is>
      </c>
      <c r="I13" s="39" t="inlineStr">
        <is>
          <t>No 75R/51R/150R/750k/249k in kit: ladder is all 10k (2R = 10k, R = 2x10k in parallel = 5k, match by meter), 75R = 100R||330R (76.7R), 51R = 47R+4.7R, 150R = 100R+47R, 750k = 680k+68k, 249k = 220k+33k. 10k budget: ladder 23 + tie-offs 4 = 27 of 40</t>
        </is>
      </c>
      <c r="J13" s="41" t="inlineStr">
        <is>
          <t>https://www.amazon.com/dp/B0F4P352BB</t>
        </is>
      </c>
    </row>
    <row r="14" ht="23.85" customHeight="1" s="30">
      <c r="A14" s="38" t="n">
        <v>8</v>
      </c>
      <c r="B14" s="38" t="n">
        <v>300</v>
      </c>
      <c r="C14" s="38" t="inlineStr">
        <is>
          <t>EEEEE 30-value MLCC kit</t>
        </is>
      </c>
      <c r="D14" s="39" t="inlineStr">
        <is>
          <t>Ceramic caps 10 pF-10 uF, 10 each, 50 V</t>
        </is>
      </c>
      <c r="E14" s="38" t="inlineStr">
        <is>
          <t>THT</t>
        </is>
      </c>
      <c r="F14" s="40" t="n">
        <v>0.0333</v>
      </c>
      <c r="G14" s="40">
        <f>B14*F14</f>
        <v/>
      </c>
      <c r="H14" s="38" t="inlineStr">
        <is>
          <t>Amazon</t>
        </is>
      </c>
      <c r="I14" s="39" t="inlineStr">
        <is>
          <t>Rev A: 470p, 1n, 2.2n, 10n, 1u from here. Dielectric unstated, DMM-verify. C0G for Rev B</t>
        </is>
      </c>
      <c r="J14" s="58" t="inlineStr">
        <is>
          <t>https://a.co/d/0dSCox0r</t>
        </is>
      </c>
    </row>
    <row r="15" ht="14.25" customHeight="1" s="30">
      <c r="A15" s="42" t="inlineStr">
        <is>
          <t>POWER</t>
        </is>
      </c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</row>
    <row r="16" ht="14.25" customHeight="1" s="30">
      <c r="A16" s="38" t="n">
        <v>9</v>
      </c>
      <c r="B16" s="38" t="n">
        <v>3</v>
      </c>
      <c r="C16" s="38" t="inlineStr">
        <is>
          <t>MCP1700-3302E/TO</t>
        </is>
      </c>
      <c r="D16" s="39" t="inlineStr">
        <is>
          <t>LDO, 3.3 V, 250 mA</t>
        </is>
      </c>
      <c r="E16" s="38" t="inlineStr">
        <is>
          <t>TO-92</t>
        </is>
      </c>
      <c r="F16" s="40" t="n">
        <v>0.5</v>
      </c>
      <c r="G16" s="40">
        <f>B16*F16</f>
        <v/>
      </c>
      <c r="H16" s="38" t="inlineStr">
        <is>
          <t>DigiKey</t>
        </is>
      </c>
      <c r="I16" s="39" t="inlineStr">
        <is>
          <t>Analog rail (+3V3_A) only, 2 spare</t>
        </is>
      </c>
      <c r="J16" s="41" t="inlineStr">
        <is>
          <t>https://www.digikey.com/en/products/detail/microchip-technology/MCP1700-3302E-TO/652680?s=N4IgTCBcDaILIGEAKBGA7ABgwWgMy4zAFEB6AFQHlsA5AEQAIQBdAXyA</t>
        </is>
      </c>
    </row>
    <row r="17" ht="14.25" customHeight="1" s="30">
      <c r="A17" s="38" t="n">
        <v>10</v>
      </c>
      <c r="B17" s="38" t="n">
        <v>5</v>
      </c>
      <c r="C17" s="38" t="inlineStr">
        <is>
          <t>HiLetgo XL6009</t>
        </is>
      </c>
      <c r="D17" s="39" t="inlineStr">
        <is>
          <t>Boost module, 3-32 V to 5-35 V</t>
        </is>
      </c>
      <c r="E17" s="38" t="inlineStr">
        <is>
          <t>Module</t>
        </is>
      </c>
      <c r="F17" s="40" t="n">
        <v>1.898</v>
      </c>
      <c r="G17" s="40">
        <f>B17*F17</f>
        <v/>
      </c>
      <c r="H17" s="38" t="inlineStr">
        <is>
          <t>Amazon</t>
        </is>
      </c>
      <c r="I17" s="39" t="inlineStr">
        <is>
          <t>Backlight 25.6 V @ 60 mA</t>
        </is>
      </c>
      <c r="J17" s="41" t="inlineStr">
        <is>
          <t>https://a.co/d/02AsqIvb</t>
        </is>
      </c>
    </row>
    <row r="18" ht="14.25" customHeight="1" s="30">
      <c r="A18" s="43" t="n">
        <v>11</v>
      </c>
      <c r="B18" s="43" t="n">
        <v>1</v>
      </c>
      <c r="C18" s="43" t="inlineStr">
        <is>
          <t>Caps 100 nF / 10 uF / 100 uF</t>
        </is>
      </c>
      <c r="D18" s="44" t="inlineStr">
        <is>
          <t>Decoupling and bulk</t>
        </is>
      </c>
      <c r="E18" s="43" t="inlineStr">
        <is>
          <t>THT</t>
        </is>
      </c>
      <c r="F18" s="45" t="n">
        <v>0</v>
      </c>
      <c r="G18" s="45">
        <f>B18*F18</f>
        <v/>
      </c>
      <c r="H18" s="43" t="inlineStr">
        <is>
          <t>On hand</t>
        </is>
      </c>
      <c r="I18" s="44" t="n"/>
    </row>
    <row r="19" ht="14.25" customHeight="1" s="30">
      <c r="A19" s="42" t="inlineStr">
        <is>
          <t>PROCESSING</t>
        </is>
      </c>
      <c r="B19" s="42" t="n"/>
      <c r="C19" s="42" t="n"/>
      <c r="D19" s="42" t="n"/>
      <c r="E19" s="42" t="n"/>
      <c r="F19" s="42" t="n"/>
      <c r="G19" s="42" t="n"/>
      <c r="H19" s="42" t="n"/>
      <c r="I19" s="42" t="n"/>
    </row>
    <row r="20" ht="14.25" customHeight="1" s="30">
      <c r="A20" s="43" t="n">
        <v>12</v>
      </c>
      <c r="B20" s="43" t="n">
        <v>3</v>
      </c>
      <c r="C20" s="43" t="inlineStr">
        <is>
          <t>ESP32-S3-WROOM-1-N16R8</t>
        </is>
      </c>
      <c r="D20" s="44" t="inlineStr">
        <is>
          <t>MCU dev board</t>
        </is>
      </c>
      <c r="E20" s="43" t="inlineStr">
        <is>
          <t>Module</t>
        </is>
      </c>
      <c r="F20" s="45" t="n">
        <v>0</v>
      </c>
      <c r="G20" s="45">
        <f>B20*F20</f>
        <v/>
      </c>
      <c r="H20" s="43" t="inlineStr">
        <is>
          <t>On hand</t>
        </is>
      </c>
      <c r="I20" s="44" t="inlineStr">
        <is>
          <t>#1 acquisition, #2 display, #3 generator</t>
        </is>
      </c>
      <c r="J20" s="41" t="inlineStr">
        <is>
          <t>https://a.co/d/07rz7Fj1</t>
        </is>
      </c>
    </row>
    <row r="21" ht="14.25" customHeight="1" s="30">
      <c r="A21" s="42" t="inlineStr">
        <is>
          <t>DISPLAY AND TOUCH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</row>
    <row r="22" ht="14.25" customHeight="1" s="30">
      <c r="A22" s="38" t="n">
        <v>13</v>
      </c>
      <c r="B22" s="38" t="n">
        <v>1</v>
      </c>
      <c r="C22" s="38" t="inlineStr">
        <is>
          <t>AFY800480B0-7.0N12NTM-C</t>
        </is>
      </c>
      <c r="D22" s="39" t="inlineStr">
        <is>
          <t>7" 800x480 RGB TFT + GT911 touch</t>
        </is>
      </c>
      <c r="E22" s="38" t="inlineStr">
        <is>
          <t>Panel</t>
        </is>
      </c>
      <c r="F22" s="40" t="n">
        <v>29.67</v>
      </c>
      <c r="G22" s="40">
        <f>B22*F22</f>
        <v/>
      </c>
      <c r="H22" s="38" t="inlineStr">
        <is>
          <t>DigiKey MP</t>
        </is>
      </c>
      <c r="I22" s="39" t="inlineStr">
        <is>
          <t>EOL — sub: Newhaven NHD-7.0-800480EF</t>
        </is>
      </c>
      <c r="J22" s="41" t="inlineStr">
        <is>
          <t>https://www.digikey.com/en/products/detail/orient-display/AFY800480B0-7-0N12NTM-C/12089250?s=N4IgTCBcDa4KwBYEFoCCAxAmgDgAy4TwCFdkB2EAXQF8g</t>
        </is>
      </c>
    </row>
    <row r="23" ht="14.25" customHeight="1" s="30">
      <c r="A23" s="38" t="n">
        <v>14</v>
      </c>
      <c r="B23" s="38" t="n">
        <v>1</v>
      </c>
      <c r="C23" s="38" t="inlineStr">
        <is>
          <t>Adafruit 1932</t>
        </is>
      </c>
      <c r="D23" s="39" t="inlineStr">
        <is>
          <t>40-pin TFT FPC breakout</t>
        </is>
      </c>
      <c r="E23" s="38" t="inlineStr">
        <is>
          <t>Module</t>
        </is>
      </c>
      <c r="F23" s="40" t="n">
        <v>9.949999999999999</v>
      </c>
      <c r="G23" s="40">
        <f>B23*F23</f>
        <v/>
      </c>
      <c r="H23" s="38" t="inlineStr">
        <is>
          <t>DigiKey</t>
        </is>
      </c>
      <c r="I23" s="39" t="inlineStr">
        <is>
          <t>Connector only — backlight drv unused</t>
        </is>
      </c>
      <c r="J23" s="41" t="inlineStr">
        <is>
          <t>https://www.digikey.com/en/products/detail/adafruit-industries-llc/1932/5761222?s=N4IgTCBcDaIAQEYCsYAcBaBAWJX0DkAREAXQF8g</t>
        </is>
      </c>
    </row>
    <row r="24" ht="14.25" customHeight="1" s="30">
      <c r="A24" s="38" t="n">
        <v>15</v>
      </c>
      <c r="B24" s="38" t="n">
        <v>4</v>
      </c>
      <c r="C24" s="38" t="inlineStr">
        <is>
          <t>MTCELL FPC 6-pin</t>
        </is>
      </c>
      <c r="D24" s="39" t="inlineStr">
        <is>
          <t>FFC to DIP, dual 1.0/0.5 mm</t>
        </is>
      </c>
      <c r="E24" s="38" t="inlineStr">
        <is>
          <t>PCB</t>
        </is>
      </c>
      <c r="F24" s="40" t="n">
        <v>1.7475</v>
      </c>
      <c r="G24" s="40">
        <f>B24*F24</f>
        <v/>
      </c>
      <c r="H24" s="38" t="inlineStr">
        <is>
          <t>Amazon</t>
        </is>
      </c>
      <c r="I24" s="39" t="inlineStr">
        <is>
          <t>GT911 touch tail</t>
        </is>
      </c>
      <c r="J24" s="41" t="inlineStr">
        <is>
          <t>https://a.co/d/07UskTTP</t>
        </is>
      </c>
    </row>
    <row r="25" ht="14.25" customHeight="1" s="30">
      <c r="A25" s="43" t="n">
        <v>16</v>
      </c>
      <c r="B25" s="43" t="n">
        <v>1</v>
      </c>
      <c r="C25" s="43" t="inlineStr">
        <is>
          <t>ST7789 240x320 SPI TFT</t>
        </is>
      </c>
      <c r="D25" s="44" t="inlineStr">
        <is>
          <t>Interim display, Phase 1</t>
        </is>
      </c>
      <c r="E25" s="43" t="inlineStr">
        <is>
          <t>Module</t>
        </is>
      </c>
      <c r="F25" s="45" t="n">
        <v>0</v>
      </c>
      <c r="G25" s="45">
        <f>B25*F25</f>
        <v/>
      </c>
      <c r="H25" s="43" t="inlineStr">
        <is>
          <t>On hand</t>
        </is>
      </c>
      <c r="I25" s="44" t="inlineStr">
        <is>
          <t>Render loop target before 7" arrives</t>
        </is>
      </c>
    </row>
    <row r="26" ht="14.25" customHeight="1" s="30">
      <c r="A26" s="42" t="inlineStr">
        <is>
          <t>USER INTERFACE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</row>
    <row r="27" ht="14.25" customHeight="1" s="30">
      <c r="A27" s="38" t="n">
        <v>17</v>
      </c>
      <c r="B27" s="38" t="n">
        <v>6</v>
      </c>
      <c r="C27" s="38" t="inlineStr">
        <is>
          <t>WWZMDiB EC11</t>
        </is>
      </c>
      <c r="D27" s="39" t="inlineStr">
        <is>
          <t>Rotary encoder + knob cap</t>
        </is>
      </c>
      <c r="E27" s="38" t="inlineStr">
        <is>
          <t>THT</t>
        </is>
      </c>
      <c r="F27" s="40" t="n">
        <v>1.48</v>
      </c>
      <c r="G27" s="40">
        <f>B27*F27</f>
        <v/>
      </c>
      <c r="H27" s="38" t="inlineStr">
        <is>
          <t>Amazon</t>
        </is>
      </c>
      <c r="I27" s="39" t="inlineStr">
        <is>
          <t>s/div, V/div, trigger level</t>
        </is>
      </c>
      <c r="J27" s="41" t="inlineStr">
        <is>
          <t>https://a.co/d/0f5mQg6T</t>
        </is>
      </c>
    </row>
    <row r="28" ht="14.25" customHeight="1" s="30">
      <c r="A28" s="43" t="n">
        <v>18</v>
      </c>
      <c r="B28" s="43" t="n">
        <v>1</v>
      </c>
      <c r="C28" s="43" t="inlineStr">
        <is>
          <t>KY-040 encoder</t>
        </is>
      </c>
      <c r="D28" s="44" t="inlineStr">
        <is>
          <t>Rotary encoder</t>
        </is>
      </c>
      <c r="E28" s="43" t="inlineStr">
        <is>
          <t>Module</t>
        </is>
      </c>
      <c r="F28" s="45" t="n">
        <v>0</v>
      </c>
      <c r="G28" s="45">
        <f>B28*F28</f>
        <v/>
      </c>
      <c r="H28" s="43" t="inlineStr">
        <is>
          <t>On hand</t>
        </is>
      </c>
      <c r="I28" s="44" t="inlineStr">
        <is>
          <t>Spare / 4th</t>
        </is>
      </c>
    </row>
    <row r="29" ht="23.85" customHeight="1" s="30">
      <c r="A29" s="43" t="n">
        <v>19</v>
      </c>
      <c r="B29" s="43" t="n">
        <v>1</v>
      </c>
      <c r="C29" s="43" t="inlineStr">
        <is>
          <t>Tactile buttons, LEDs</t>
        </is>
      </c>
      <c r="D29" s="44" t="inlineStr">
        <is>
          <t>RUN, SINGLE, GEN buttons · RUN, TRIG, ARM LEDs</t>
        </is>
      </c>
      <c r="E29" s="43" t="inlineStr">
        <is>
          <t>THT</t>
        </is>
      </c>
      <c r="F29" s="45" t="n">
        <v>0</v>
      </c>
      <c r="G29" s="45">
        <f>B29*F29</f>
        <v/>
      </c>
      <c r="H29" s="43" t="inlineStr">
        <is>
          <t>On hand</t>
        </is>
      </c>
      <c r="I29" s="44" t="n"/>
    </row>
    <row r="30" ht="14.25" customHeight="1" s="30">
      <c r="A30" s="46" t="inlineStr">
        <is>
          <t>INTERCONNECT</t>
        </is>
      </c>
    </row>
    <row r="31" ht="14.25" customHeight="1" s="30">
      <c r="A31" s="38" t="n">
        <v>20</v>
      </c>
      <c r="B31" s="38" t="n">
        <v>1</v>
      </c>
      <c r="C31" s="38" t="inlineStr">
        <is>
          <t>PRPC040SAAN-RC</t>
        </is>
      </c>
      <c r="D31" s="39" t="inlineStr">
        <is>
          <t>Header, male, 40-pos, 2.54 mm</t>
        </is>
      </c>
      <c r="E31" s="38" t="inlineStr">
        <is>
          <t>THT</t>
        </is>
      </c>
      <c r="F31" s="40" t="n">
        <v>1.23</v>
      </c>
      <c r="G31" s="40">
        <f>B31*F31</f>
        <v/>
      </c>
      <c r="H31" s="38" t="inlineStr">
        <is>
          <t>DigiKey</t>
        </is>
      </c>
      <c r="I31" s="39" t="inlineStr">
        <is>
          <t>Breakaway</t>
        </is>
      </c>
      <c r="J31" s="41" t="inlineStr">
        <is>
          <t>https://www.digikey.com/en/products/detail/sullins-connector-solutions/PRPC040SAAN-RC/2775214?s=N4IgTCBcDaIAQGUCMAGJSCiBhAtAFhRwDkAROEAXQF8g</t>
        </is>
      </c>
    </row>
    <row r="32" ht="14.25" customHeight="1" s="30">
      <c r="A32" s="38" t="n">
        <v>21</v>
      </c>
      <c r="B32" s="38" t="n">
        <v>560</v>
      </c>
      <c r="C32" s="38" t="inlineStr">
        <is>
          <t>Dorhea jumper wire kit</t>
        </is>
      </c>
      <c r="D32" s="39" t="inlineStr">
        <is>
          <t>Jumper wires, 14 values</t>
        </is>
      </c>
      <c r="E32" s="38" t="inlineStr">
        <is>
          <t>-</t>
        </is>
      </c>
      <c r="F32" s="40" t="n">
        <v>0.01248</v>
      </c>
      <c r="G32" s="40">
        <f>B32*F32</f>
        <v/>
      </c>
      <c r="H32" s="38" t="inlineStr">
        <is>
          <t>Amazon</t>
        </is>
      </c>
      <c r="I32" s="39" t="inlineStr">
        <is>
          <t>Breadboard interconnect</t>
        </is>
      </c>
      <c r="J32" s="41" t="inlineStr">
        <is>
          <t>https://a.co/d/04z6zcu7</t>
        </is>
      </c>
    </row>
    <row r="33" ht="14.25" customHeight="1" s="30">
      <c r="A33" s="43" t="n">
        <v>22</v>
      </c>
      <c r="B33" s="43" t="n">
        <v>2</v>
      </c>
      <c r="C33" s="43" t="inlineStr">
        <is>
          <t>Breadboard, 830 tie point</t>
        </is>
      </c>
      <c r="D33" s="44" t="inlineStr">
        <is>
          <t>Prototype substrate</t>
        </is>
      </c>
      <c r="E33" s="43" t="inlineStr">
        <is>
          <t>-</t>
        </is>
      </c>
      <c r="F33" s="45" t="n">
        <v>0</v>
      </c>
      <c r="G33" s="45">
        <f>B33*F33</f>
        <v/>
      </c>
      <c r="H33" s="43" t="inlineStr">
        <is>
          <t>On hand</t>
        </is>
      </c>
      <c r="I33" s="44" t="n"/>
    </row>
    <row r="34" ht="14.25" customHeight="1" s="30">
      <c r="A34" s="38" t="n">
        <v>23</v>
      </c>
      <c r="B34" s="38" t="n">
        <v>8</v>
      </c>
      <c r="C34" s="38" t="inlineStr">
        <is>
          <t>HUAREW breadboard kit</t>
        </is>
      </c>
      <c r="D34" s="39" t="inlineStr">
        <is>
          <t>Breadboards 2x 830 + 2x 400, 120 jumpers (per kit, 2 kits)</t>
        </is>
      </c>
      <c r="E34" s="38" t="inlineStr">
        <is>
          <t>-</t>
        </is>
      </c>
      <c r="F34" s="40" t="n">
        <v>2.4975</v>
      </c>
      <c r="G34" s="40">
        <f>B34*F34</f>
        <v/>
      </c>
      <c r="H34" s="38" t="inlineStr">
        <is>
          <t>Amazon</t>
        </is>
      </c>
      <c r="I34" s="39" t="inlineStr">
        <is>
          <t>Two kits: generator ladder and display need the extra space</t>
        </is>
      </c>
      <c r="J34" s="41" t="inlineStr">
        <is>
          <t>https://a.co/d/0bRym9Uv</t>
        </is>
      </c>
    </row>
    <row r="35" ht="14.25" customHeight="1" s="30">
      <c r="A35" s="47" t="n">
        <v>24</v>
      </c>
      <c r="B35" s="47" t="n">
        <v>1</v>
      </c>
      <c r="C35" s="47" t="inlineStr">
        <is>
          <t>Perfboard w/ ground plane</t>
        </is>
      </c>
      <c r="D35" s="48" t="inlineStr">
        <is>
          <t>For RGB bus and 32 MHz SPI</t>
        </is>
      </c>
      <c r="E35" s="47" t="inlineStr">
        <is>
          <t>-</t>
        </is>
      </c>
      <c r="F35" s="49" t="n">
        <v>10</v>
      </c>
      <c r="G35" s="49">
        <f>B35*F35</f>
        <v/>
      </c>
      <c r="H35" s="47" t="inlineStr">
        <is>
          <t>NOT BOUGHT</t>
        </is>
      </c>
      <c r="I35" s="48" t="inlineStr">
        <is>
          <t>Needed when breadboard fails</t>
        </is>
      </c>
    </row>
    <row r="36" ht="14.25" customHeight="1" s="30">
      <c r="A36" s="42" t="inlineStr">
        <is>
          <t>TEST AND VALIDATION</t>
        </is>
      </c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</row>
    <row r="37" ht="14.25" customHeight="1" s="30">
      <c r="A37" s="43" t="n">
        <v>25</v>
      </c>
      <c r="B37" s="43" t="n">
        <v>1</v>
      </c>
      <c r="C37" s="43" t="inlineStr">
        <is>
          <t xml:space="preserve">FNIRSI 2C53T </t>
        </is>
      </c>
      <c r="D37" s="44" t="inlineStr">
        <is>
          <t>Oscilloscope + Function Generator</t>
        </is>
      </c>
      <c r="E37" s="43" t="inlineStr">
        <is>
          <t>-</t>
        </is>
      </c>
      <c r="F37" s="45" t="n">
        <v>0</v>
      </c>
      <c r="G37" s="45">
        <f>B37*F37</f>
        <v/>
      </c>
      <c r="H37" s="43" t="inlineStr">
        <is>
          <t>On hand</t>
        </is>
      </c>
      <c r="I37" s="44" t="inlineStr">
        <is>
          <t>VALIDATION GROUND TRUTH</t>
        </is>
      </c>
      <c r="J37" s="41" t="inlineStr">
        <is>
          <t>https://a.co/d/0hUidHrU</t>
        </is>
      </c>
    </row>
    <row r="38" ht="14.25" customHeight="1" s="30">
      <c r="A38" s="43" t="n">
        <v>26</v>
      </c>
      <c r="B38" s="43" t="n">
        <v>1</v>
      </c>
      <c r="C38" s="43" t="inlineStr">
        <is>
          <t>FX2LP + PulseView</t>
        </is>
      </c>
      <c r="D38" s="44" t="inlineStr">
        <is>
          <t>Logic analyzer</t>
        </is>
      </c>
      <c r="E38" s="43" t="inlineStr">
        <is>
          <t>-</t>
        </is>
      </c>
      <c r="F38" s="45" t="n">
        <v>0</v>
      </c>
      <c r="G38" s="45">
        <f>B38*F38</f>
        <v/>
      </c>
      <c r="H38" s="43" t="inlineStr">
        <is>
          <t>On hand</t>
        </is>
      </c>
      <c r="I38" s="44" t="inlineStr">
        <is>
          <t>SPI bring-up, trigger latency</t>
        </is>
      </c>
      <c r="J38" s="41" t="inlineStr">
        <is>
          <t>https://a.co/d/0aDcLZeU</t>
        </is>
      </c>
    </row>
    <row r="39" ht="14.25" customHeight="1" s="30">
      <c r="A39" s="38" t="n">
        <v>27</v>
      </c>
      <c r="B39" s="38" t="n">
        <v>0</v>
      </c>
      <c r="C39" s="38" t="inlineStr">
        <is>
          <t>MCP4725 DAC breakout</t>
        </is>
      </c>
      <c r="D39" s="39" t="inlineStr">
        <is>
          <t>12-bit I2C DAC</t>
        </is>
      </c>
      <c r="E39" s="38" t="inlineStr">
        <is>
          <t>Module</t>
        </is>
      </c>
      <c r="F39" s="40" t="n">
        <v>8</v>
      </c>
      <c r="G39" s="40">
        <f>B39*F39</f>
        <v/>
      </c>
      <c r="H39" s="38" t="inlineStr">
        <is>
          <t>CANCELLED</t>
        </is>
      </c>
      <c r="I39" s="39" t="inlineStr">
        <is>
          <t>Replaced by R-2R ladder on board 3</t>
        </is>
      </c>
    </row>
    <row r="41" ht="14.25" customHeight="1" s="30">
      <c r="D41" s="50" t="inlineStr">
        <is>
          <t>Parts purchased</t>
        </is>
      </c>
      <c r="G41" s="51">
        <f>SUMIF($H$7:$H$39,"DigiKey",$G$7:$G$39)+SUMIF($H$7:$H$39,"DigiKey MP",$G$7:$G$39)+SUMIF($H$7:$H$39,"Amazon",$G$7:$G$39)</f>
        <v/>
      </c>
    </row>
    <row r="42" ht="14.25" customHeight="1" s="30">
      <c r="D42" s="32" t="inlineStr">
        <is>
          <t>Shipping, tariff and tax (all four orders)</t>
        </is>
      </c>
      <c r="G42" s="52" t="n">
        <v>50.47</v>
      </c>
    </row>
    <row r="43" ht="14.25" customHeight="1" s="30">
      <c r="D43" s="50" t="inlineStr">
        <is>
          <t>LANDED COST TO DATE</t>
        </is>
      </c>
      <c r="G43" s="53">
        <f>G41+G42</f>
        <v/>
      </c>
    </row>
    <row r="44" ht="14.25" customHeight="1" s="30">
      <c r="D44" s="32" t="inlineStr">
        <is>
          <t>Outstanding gaps (amber rows)</t>
        </is>
      </c>
      <c r="G44" s="54">
        <f>SUMIF($H$7:$H$39,"NOT BOUGHT",$G$7:$G$39)</f>
        <v/>
      </c>
    </row>
    <row r="45" ht="14.25" customHeight="1" s="30">
      <c r="D45" s="32" t="inlineStr">
        <is>
          <t>Equipment on hand (green rows)</t>
        </is>
      </c>
      <c r="G45" s="55" t="n">
        <v>0</v>
      </c>
    </row>
    <row r="46" ht="15" customHeight="1" s="30"/>
    <row r="47" ht="15" customHeight="1" s="30">
      <c r="A47" s="56" t="inlineStr">
        <is>
          <t>Notes</t>
        </is>
      </c>
    </row>
    <row r="48" ht="15" customHeight="1" s="30">
      <c r="A48" s="57" t="inlineStr">
        <is>
          <t>1. Amazon unit prices are pack price / pack quantity, so Ext $ reconciles to the order totals.</t>
        </is>
      </c>
    </row>
    <row r="49" ht="15" customHeight="1" s="30">
      <c r="A49" s="57" t="inlineStr">
        <is>
          <t>2. Orders: DigiKey Inv 132648539 ($70.54) · DigiKey Marketplace Inv 132648493 ($52.56) · Amazon 111-6299766 ($61.16) · Amazon 112-0437042 ($7.67). Grand total $191.93. Later: Amazon EEEEE cap kit $9.99, HUAREW breadboard kit $9.99. 28-Sep: LuminologyPro resistor kit $6.39, second HUAREW breadboard kit $9.99.</t>
        </is>
      </c>
    </row>
    <row r="50" ht="21.75" customHeight="1" s="30">
      <c r="A50" s="57" t="inlineStr">
        <is>
          <t>3. Excluded: 2x CAN transceiver breakout (separate lab work, $7.90) and solder flux (consumable, $3.99).</t>
        </is>
      </c>
    </row>
    <row r="51" ht="15" customHeight="1" s="30">
      <c r="A51" s="57" t="inlineStr">
        <is>
          <t>4. Adafruit 1932's onboard backlight driver is rated 24 V / 7-LED strings. The panel is 8 LEDs at 25.6 V and will not light from it — the board is used for its FPC connector only, with the XL6009 driving LEDA/LEDK through a 75 ohm series resistor.</t>
        </is>
      </c>
    </row>
    <row r="52" ht="15" customHeight="1" s="30">
      <c r="A52" s="57" t="inlineStr">
        <is>
          <t>5. Display is end-of-life. Production substitute: Newhaven NHD-7.0-800480EF-ATXL#-CTP.</t>
        </is>
      </c>
    </row>
    <row r="53" ht="14.25" customHeight="1" s="30">
      <c r="A53" s="57" t="inlineStr">
        <is>
          <t>6. Filter caps are C0G by design (X7R shifts the corner with temperature and bias). Rev A uses the EEEEE kit with values DMM-verified; C0G returns for Rev B.</t>
        </is>
      </c>
    </row>
  </sheetData>
  <mergeCells count="8">
    <mergeCell ref="A52:I52"/>
    <mergeCell ref="A51:I51"/>
    <mergeCell ref="A49:I49"/>
    <mergeCell ref="A47:I47"/>
    <mergeCell ref="A30:J30"/>
    <mergeCell ref="A53:I53"/>
    <mergeCell ref="A50:I50"/>
    <mergeCell ref="A48:I48"/>
  </mergeCells>
  <hyperlinks>
    <hyperlink xmlns:r="http://schemas.openxmlformats.org/officeDocument/2006/relationships" ref="J7" display="https://www.digikey.com/en/products/detail/texas-instruments/ADS7883SBDBVR/2047152?s=N4IgTCBcDa4JwDYC0AWAHOgDEgjEgcgCIgC6AvkA" r:id="rId1"/>
    <hyperlink xmlns:r="http://schemas.openxmlformats.org/officeDocument/2006/relationships" ref="J8" display="https://www.digikey.com/en/products/detail/microchip-technology/MCP6292-E-P/574102?s=N4IgTCBcDaILIGEAKA2MBOMBaAogeiSwDkAREAXQF8g" r:id="rId2"/>
    <hyperlink xmlns:r="http://schemas.openxmlformats.org/officeDocument/2006/relationships" ref="J9" display="https://www.digikey.com/en/products/detail/smc-diode-solutions/BAV99/6022507?s=N4IgTCBcDaIIwDYCsSC0AhAggNQJy4GEAVVAOQBEQBdAXyA" r:id="rId3"/>
    <hyperlink xmlns:r="http://schemas.openxmlformats.org/officeDocument/2006/relationships" ref="J10" display="https://a.co/d/0cBGTOYl" r:id="rId4"/>
    <hyperlink xmlns:r="http://schemas.openxmlformats.org/officeDocument/2006/relationships" ref="J11" display="https://a.co/d/0bSwA5N5" r:id="rId5"/>
    <hyperlink xmlns:r="http://schemas.openxmlformats.org/officeDocument/2006/relationships" ref="J12" display="https://a.co/d/09HmNMVi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6" display="https://www.digikey.com/en/products/detail/microchip-technology/MCP1700-3302E-TO/652680?s=N4IgTCBcDaILIGEAKBGA7ABgwWgMy4zAFEB6AFQHlsA5AEQAIQBdAXyA" r:id="rId9"/>
    <hyperlink xmlns:r="http://schemas.openxmlformats.org/officeDocument/2006/relationships" ref="J17" display="https://a.co/d/02AsqIvb" r:id="rId10"/>
    <hyperlink xmlns:r="http://schemas.openxmlformats.org/officeDocument/2006/relationships" ref="J20" r:id="rId11"/>
    <hyperlink xmlns:r="http://schemas.openxmlformats.org/officeDocument/2006/relationships" ref="J22" display="https://www.digikey.com/en/products/detail/orient-display/AFY800480B0-7-0N12NTM-C/12089250?s=N4IgTCBcDa4KwBYEFoCCAxAmgDgAy4TwCFdkB2EAXQF8g" r:id="rId12"/>
    <hyperlink xmlns:r="http://schemas.openxmlformats.org/officeDocument/2006/relationships" ref="J23" display="https://www.digikey.com/en/products/detail/adafruit-industries-llc/1932/5761222?s=N4IgTCBcDaIAQEYCsYAcBaBAWJX0DkAREAXQF8g" r:id="rId13"/>
    <hyperlink xmlns:r="http://schemas.openxmlformats.org/officeDocument/2006/relationships" ref="J24" display="https://a.co/d/07UskTTP" r:id="rId14"/>
    <hyperlink xmlns:r="http://schemas.openxmlformats.org/officeDocument/2006/relationships" ref="J27" display="https://a.co/d/0f5mQg6T" r:id="rId15"/>
    <hyperlink xmlns:r="http://schemas.openxmlformats.org/officeDocument/2006/relationships" ref="J31" display="https://www.digikey.com/en/products/detail/sullins-connector-solutions/PRPC040SAAN-RC/2775214?s=N4IgTCBcDaIAQGUCMAGJSCiBhAtAFhRwDkAROEAXQF8g" r:id="rId16"/>
    <hyperlink xmlns:r="http://schemas.openxmlformats.org/officeDocument/2006/relationships" ref="J32" display="https://a.co/d/04z6zcu7" r:id="rId17"/>
    <hyperlink xmlns:r="http://schemas.openxmlformats.org/officeDocument/2006/relationships" ref="J34" r:id="rId18"/>
    <hyperlink xmlns:r="http://schemas.openxmlformats.org/officeDocument/2006/relationships" ref="J37" r:id="rId19"/>
    <hyperlink xmlns:r="http://schemas.openxmlformats.org/officeDocument/2006/relationships" ref="J38" r:id="rId2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2026-09-15T01:43:47Z</dcterms:created>
  <dcterms:modified xmlns:dcterms="http://purl.org/dc/terms/" xmlns:xsi="http://www.w3.org/2001/XMLSchema-instance" xsi:type="dcterms:W3CDTF">2026-10-13T03:23:50Z</dcterms:modified>
  <cp:lastModifiedBy>Paul Simbulan</cp:lastModifiedBy>
  <cp:revision>0</cp:revision>
</cp:coreProperties>
</file>
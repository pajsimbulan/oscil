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jsi\Downloads\"/>
    </mc:Choice>
  </mc:AlternateContent>
  <xr:revisionPtr revIDLastSave="0" documentId="13_ncr:1_{9F1AC5C2-8F14-4E51-B908-442F16790781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BO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3" i="1" l="1"/>
  <c r="G40" i="1"/>
  <c r="G42" i="1" s="1"/>
  <c r="G38" i="1"/>
  <c r="G37" i="1"/>
  <c r="G36" i="1"/>
  <c r="G34" i="1"/>
  <c r="G33" i="1"/>
  <c r="G32" i="1"/>
  <c r="G31" i="1"/>
  <c r="G29" i="1"/>
  <c r="G28" i="1"/>
  <c r="G27" i="1"/>
  <c r="G25" i="1"/>
  <c r="G24" i="1"/>
  <c r="G23" i="1"/>
  <c r="G22" i="1"/>
  <c r="G20" i="1"/>
  <c r="G18" i="1"/>
  <c r="G17" i="1"/>
  <c r="G16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<sst xmlns="http://schemas.openxmlformats.org/spreadsheetml/2006/main" count="178" uniqueCount="138">
  <si>
    <t>Oscil — Bill of Materials</t>
  </si>
  <si>
    <t>Two-channel digital storage oscilloscope · ESP32-S3 · prototype stage</t>
  </si>
  <si>
    <t>Green = already owned</t>
  </si>
  <si>
    <t>Paul Simbulan · Rev 0.1 · 14-Sep-2026</t>
  </si>
  <si>
    <t>Amber = gap, not yet sourced</t>
  </si>
  <si>
    <t>#</t>
  </si>
  <si>
    <t>Qty</t>
  </si>
  <si>
    <t>Part</t>
  </si>
  <si>
    <t>Description</t>
  </si>
  <si>
    <t>Package</t>
  </si>
  <si>
    <t>Unit $</t>
  </si>
  <si>
    <t>Ext $</t>
  </si>
  <si>
    <t>Source</t>
  </si>
  <si>
    <t>Notes</t>
  </si>
  <si>
    <t>ANALOG FRONT END</t>
  </si>
  <si>
    <t>ADS7883SBDBVR</t>
  </si>
  <si>
    <t>ADC, 12-bit 3 MSPS SAR, SPI</t>
  </si>
  <si>
    <t>SOT-23-6</t>
  </si>
  <si>
    <t>DigiKey</t>
  </si>
  <si>
    <t>Reference = supply rail</t>
  </si>
  <si>
    <t>MCP6292-E/P</t>
  </si>
  <si>
    <t>Op-amp, dual, 10 MHz, rail-to-rail</t>
  </si>
  <si>
    <t>8-PDIP</t>
  </si>
  <si>
    <t>Buffer + Sallen-Key + mid-rail</t>
  </si>
  <si>
    <t>BAV99</t>
  </si>
  <si>
    <t>Diode array, 75 V</t>
  </si>
  <si>
    <t>SOT-23-3</t>
  </si>
  <si>
    <t>Input clamp to rails</t>
  </si>
  <si>
    <t>Cylewet CYT1018</t>
  </si>
  <si>
    <t>Trimmer capacitors, 5-60 pF</t>
  </si>
  <si>
    <t>THT</t>
  </si>
  <si>
    <t>Amazon</t>
  </si>
  <si>
    <t>Attenuator compensation</t>
  </si>
  <si>
    <t>Superbat BNC</t>
  </si>
  <si>
    <t>BNC female panel mount, solder</t>
  </si>
  <si>
    <t>Panel</t>
  </si>
  <si>
    <t>CH1, CH2, trig in, cal out</t>
  </si>
  <si>
    <t>Cermant SOT23-6 adapter</t>
  </si>
  <si>
    <t>SMD to DIP breakout</t>
  </si>
  <si>
    <t>PCB</t>
  </si>
  <si>
    <t>For ADS7883 and BAV99</t>
  </si>
  <si>
    <t>Resistors, 1% metal film</t>
  </si>
  <si>
    <t>Attenuator, offset, bias, limiting</t>
  </si>
  <si>
    <t>On hand</t>
  </si>
  <si>
    <t>Ratio-match pairs with DMM</t>
  </si>
  <si>
    <t>C0G/NP0 caps 470 pF - 2.2 nF</t>
  </si>
  <si>
    <t>Anti-alias filter</t>
  </si>
  <si>
    <t>NOT BOUGHT</t>
  </si>
  <si>
    <t>Inventory gap: 22 pF jumps to 100 nF</t>
  </si>
  <si>
    <t>POWER</t>
  </si>
  <si>
    <t>MCP1700-3302E/TO</t>
  </si>
  <si>
    <t>LDO, 3.3 V, 250 mA</t>
  </si>
  <si>
    <t>TO-92</t>
  </si>
  <si>
    <t>Analog rail, digital rail, spare</t>
  </si>
  <si>
    <t>HiLetgo XL6009</t>
  </si>
  <si>
    <t>Boost module, 3-32 V to 5-35 V</t>
  </si>
  <si>
    <t>Module</t>
  </si>
  <si>
    <t>Backlight 25.6 V @ 60 mA</t>
  </si>
  <si>
    <t>Caps 100 nF / 10 uF / 100 uF</t>
  </si>
  <si>
    <t>Decoupling and bulk</t>
  </si>
  <si>
    <t>PROCESSING</t>
  </si>
  <si>
    <t>ESP32-S3-WROOM-1-N16R8</t>
  </si>
  <si>
    <t>MCU dev board</t>
  </si>
  <si>
    <t>#1 acquisition, #2 display, 1 spare</t>
  </si>
  <si>
    <t>DISPLAY AND TOUCH</t>
  </si>
  <si>
    <t>AFY800480B0-7.0N12NTM-C</t>
  </si>
  <si>
    <t>7" 800x480 RGB TFT + GT911 touch</t>
  </si>
  <si>
    <t>DigiKey MP</t>
  </si>
  <si>
    <t>EOL — sub: Newhaven NHD-7.0-800480EF</t>
  </si>
  <si>
    <t>Adafruit 1932</t>
  </si>
  <si>
    <t>40-pin TFT FPC breakout</t>
  </si>
  <si>
    <t>Connector only — backlight drv unused</t>
  </si>
  <si>
    <t>MTCELL FPC 6-pin</t>
  </si>
  <si>
    <t>FFC to DIP, dual 1.0/0.5 mm</t>
  </si>
  <si>
    <t>GT911 touch tail</t>
  </si>
  <si>
    <t>ST7789 240x320 SPI TFT</t>
  </si>
  <si>
    <t>Interim display, Phase 1</t>
  </si>
  <si>
    <t>Render loop target before 7" arrives</t>
  </si>
  <si>
    <t>USER INTERFACE</t>
  </si>
  <si>
    <t>WWZMDiB EC11</t>
  </si>
  <si>
    <t>Rotary encoder + knob cap</t>
  </si>
  <si>
    <t>s/div, V/div, trigger level</t>
  </si>
  <si>
    <t>KY-040 encoder</t>
  </si>
  <si>
    <t>Rotary encoder</t>
  </si>
  <si>
    <t>Spare / 4th</t>
  </si>
  <si>
    <t>Tactile buttons, LEDs</t>
  </si>
  <si>
    <t>Run/stop, single, channel · 5 status LEDs</t>
  </si>
  <si>
    <t>INTERCONNECT</t>
  </si>
  <si>
    <t>PRPC040SAAN-RC</t>
  </si>
  <si>
    <t>Header, male, 40-pos, 2.54 mm</t>
  </si>
  <si>
    <t>Breakaway</t>
  </si>
  <si>
    <t>Dorhea jumper wire kit</t>
  </si>
  <si>
    <t>Jumper wires, 14 values</t>
  </si>
  <si>
    <t>-</t>
  </si>
  <si>
    <t>Breadboard interconnect</t>
  </si>
  <si>
    <t>Breadboard, 830 tie point</t>
  </si>
  <si>
    <t>Prototype substrate</t>
  </si>
  <si>
    <t>Perfboard w/ ground plane</t>
  </si>
  <si>
    <t>For RGB bus and 32 MHz SPI</t>
  </si>
  <si>
    <t>Needed when breadboard fails</t>
  </si>
  <si>
    <t>TEST AND VALIDATION</t>
  </si>
  <si>
    <t>VALIDATION GROUND TRUTH</t>
  </si>
  <si>
    <t>FX2LP + PulseView</t>
  </si>
  <si>
    <t>Logic analyzer</t>
  </si>
  <si>
    <t>SPI bring-up, trigger latency</t>
  </si>
  <si>
    <t>MCP4725 DAC breakout</t>
  </si>
  <si>
    <t>12-bit I2C DAC</t>
  </si>
  <si>
    <t>Calibration source / signal gen</t>
  </si>
  <si>
    <t>Parts purchased</t>
  </si>
  <si>
    <t>Shipping, tariff and tax (all four orders)</t>
  </si>
  <si>
    <t>LANDED COST TO DATE</t>
  </si>
  <si>
    <t>Outstanding gaps (amber rows)</t>
  </si>
  <si>
    <t>Equipment on hand (green rows)</t>
  </si>
  <si>
    <t>1. Amazon unit prices are pack price / pack quantity, so Ext $ reconciles to the order totals.</t>
  </si>
  <si>
    <t>2. Orders: DigiKey Inv 132648539 ($70.54) · DigiKey Marketplace Inv 132648493 ($52.56) · Amazon 111-6299766 ($61.16) · Amazon 112-0437042 ($7.67). Grand total $191.93.</t>
  </si>
  <si>
    <t>3. Excluded: 2x CAN transceiver breakout (separate lab work, $7.90) and solder flux (consumable, $3.99).</t>
  </si>
  <si>
    <t>4. Adafruit 1932's onboard backlight driver is rated 24 V / 7-LED strings. The panel is 8 LEDs at 25.6 V and will not light from it — the board is used for its FPC connector only, with the XL6009 driving LEDA/LEDK through a 75 ohm series resistor.</t>
  </si>
  <si>
    <t>5. Display is end-of-life. Production substitute: Newhaven NHD-7.0-800480EF-ATXL#-CTP.</t>
  </si>
  <si>
    <t>6. Anti-alias filter caps must be C0G/NP0. X7R's voltage coefficient shifts the filter corner with signal amplitude.</t>
  </si>
  <si>
    <t>Link</t>
  </si>
  <si>
    <t>https://a.co/d/04z6zcu7</t>
  </si>
  <si>
    <t>https://a.co/d/02AsqIvb</t>
  </si>
  <si>
    <t>https://a.co/d/0cBGTOYl</t>
  </si>
  <si>
    <t>https://a.co/d/09HmNMVi</t>
  </si>
  <si>
    <t>https://a.co/d/0f5mQg6T</t>
  </si>
  <si>
    <t>https://a.co/d/0bSwA5N5</t>
  </si>
  <si>
    <t>https://a.co/d/07UskTTP</t>
  </si>
  <si>
    <t>https://www.digikey.com/en/products/detail/orient-display/AFY800480B0-7-0N12NTM-C/12089250?s=N4IgTCBcDa4KwBYEFoCCAxAmgDgAy4TwCFdkB2EAXQF8g</t>
  </si>
  <si>
    <t>https://www.digikey.com/en/products/detail/texas-instruments/ADS7883SBDBVR/2047152?s=N4IgTCBcDa4JwDYC0AWAHOgDEgjEgcgCIgC6AvkA</t>
  </si>
  <si>
    <t>https://www.digikey.com/en/products/detail/adafruit-industries-llc/1932/5761222?s=N4IgTCBcDaIAQEYCsYAcBaBAWJX0DkAREAXQF8g</t>
  </si>
  <si>
    <t>https://www.digikey.com/en/products/detail/microchip-technology/MCP6292-E-P/574102?s=N4IgTCBcDaILIGEAKA2MBOMBaAogeiSwDkAREAXQF8g</t>
  </si>
  <si>
    <t>https://www.digikey.com/en/products/detail/microchip-technology/MCP1700-3302E-TO/652680?s=N4IgTCBcDaILIGEAKBGA7ABgwWgMy4zAFEB6AFQHlsA5AEQAIQBdAXyA</t>
  </si>
  <si>
    <t>https://www.digikey.com/en/products/detail/smc-diode-solutions/BAV99/6022507?s=N4IgTCBcDaIIwDYCsSC0AhAggNQJy4GEAVVAOQBEQBdAXyA</t>
  </si>
  <si>
    <t>https://www.digikey.com/en/products/detail/sullins-connector-solutions/PRPC040SAAN-RC/2775214?s=N4IgTCBcDaIAQGUCMAGJSCiBhAtAFhRwDkAROEAXQF8g</t>
  </si>
  <si>
    <t>Oscilloscope + Function Generator</t>
  </si>
  <si>
    <t xml:space="preserve">FNIRSI 2C53T </t>
  </si>
  <si>
    <t>https://a.co/d/01g446Bb</t>
  </si>
  <si>
    <t>https://a.co/d/0bcMUA3H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</si>
</sst>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&quot;($&quot;#,##0.00\);\-"/>
  </numFmts>
  <fonts count="8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2" fillId="3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0" fontId="6" fillId="0" borderId="0" xfId="0" applyFont="1"/>
    <xf numFmtId="164" fontId="6" fillId="0" borderId="0" xfId="0" applyNumberFormat="1" applyFont="1"/>
    <xf numFmtId="164" fontId="0" fillId="0" borderId="0" xfId="0" applyNumberFormat="1"/>
    <xf numFmtId="164" fontId="6" fillId="5" borderId="0" xfId="0" applyNumberFormat="1" applyFont="1" applyFill="1"/>
    <xf numFmtId="164" fontId="0" fillId="3" borderId="0" xfId="0" applyNumberFormat="1" applyFill="1"/>
    <xf numFmtId="164" fontId="0" fillId="2" borderId="0" xfId="0" applyNumberFormat="1" applyFill="1"/>
    <xf numFmtId="0" fontId="7" fillId="0" borderId="0" xfId="1"/>
    <xf numFmtId="0" fontId="5" fillId="5" borderId="0" xfId="0" applyFont="1" applyFill="1" applyAlignment="1">
      <alignment horizontal="center" vertical="center"/>
    </xf>
    <xf numFmtId="0" fontId="5" fillId="5" borderId="0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rient-display/AFY800480B0-7-0N12NTM-C/12089250?s=N4IgTCBcDa4KwBYEFoCCAxAmgDgAy4TwCFdkB2EAXQF8g" TargetMode="External"/><Relationship Id="rId13" Type="http://schemas.openxmlformats.org/officeDocument/2006/relationships/hyperlink" Target="https://www.digikey.com/en/products/detail/smc-diode-solutions/BAV99/6022507?s=N4IgTCBcDaIIwDYCsSC0AhAggNQJy4GEAVVAOQBEQBdAXyA" TargetMode="External"/><Relationship Id="rId3" Type="http://schemas.openxmlformats.org/officeDocument/2006/relationships/hyperlink" Target="https://a.co/d/0cBGTOYl" TargetMode="External"/><Relationship Id="rId7" Type="http://schemas.openxmlformats.org/officeDocument/2006/relationships/hyperlink" Target="https://a.co/d/07UskTTP" TargetMode="External"/><Relationship Id="rId12" Type="http://schemas.openxmlformats.org/officeDocument/2006/relationships/hyperlink" Target="https://www.digikey.com/en/products/detail/microchip-technology/MCP1700-3302E-TO/652680?s=N4IgTCBcDaILIGEAKBGA7ABgwWgMy4zAFEB6AFQHlsA5AEQAIQBdAXyA" TargetMode="External"/><Relationship Id="rId17" Type="http://schemas.openxmlformats.org/officeDocument/2006/relationships/hyperlink" Target="https://a.co/d/0bcMUA3H" TargetMode="External"/><Relationship Id="rId2" Type="http://schemas.openxmlformats.org/officeDocument/2006/relationships/hyperlink" Target="https://a.co/d/02AsqIvb" TargetMode="External"/><Relationship Id="rId16" Type="http://schemas.openxmlformats.org/officeDocument/2006/relationships/hyperlink" Target="https://a.co/d/01g446Bb" TargetMode="External"/><Relationship Id="rId1" Type="http://schemas.openxmlformats.org/officeDocument/2006/relationships/hyperlink" Target="https://a.co/d/04z6zcu7" TargetMode="External"/><Relationship Id="rId6" Type="http://schemas.openxmlformats.org/officeDocument/2006/relationships/hyperlink" Target="https://a.co/d/0bSwA5N5" TargetMode="External"/><Relationship Id="rId11" Type="http://schemas.openxmlformats.org/officeDocument/2006/relationships/hyperlink" Target="https://www.digikey.com/en/products/detail/microchip-technology/MCP6292-E-P/574102?s=N4IgTCBcDaILIGEAKA2MBOMBaAogeiSwDkAREAXQF8g" TargetMode="External"/><Relationship Id="rId5" Type="http://schemas.openxmlformats.org/officeDocument/2006/relationships/hyperlink" Target="https://a.co/d/0f5mQg6T" TargetMode="External"/><Relationship Id="rId15" Type="http://schemas.openxmlformats.org/officeDocument/2006/relationships/hyperlink" Target="https://a.co/d/01g446Bb" TargetMode="External"/><Relationship Id="rId10" Type="http://schemas.openxmlformats.org/officeDocument/2006/relationships/hyperlink" Target="https://www.digikey.com/en/products/detail/adafruit-industries-llc/1932/5761222?s=N4IgTCBcDaIAQEYCsYAcBaBAWJX0DkAREAXQF8g" TargetMode="External"/><Relationship Id="rId4" Type="http://schemas.openxmlformats.org/officeDocument/2006/relationships/hyperlink" Target="https://a.co/d/09HmNMVi" TargetMode="External"/><Relationship Id="rId9" Type="http://schemas.openxmlformats.org/officeDocument/2006/relationships/hyperlink" Target="https://www.digikey.com/en/products/detail/texas-instruments/ADS7883SBDBVR/2047152?s=N4IgTCBcDa4JwDYC0AWAHOgDEgjEgcgCIgC6AvkA" TargetMode="External"/><Relationship Id="rId14" Type="http://schemas.openxmlformats.org/officeDocument/2006/relationships/hyperlink" Target="https://www.digikey.com/en/products/detail/sullins-connector-solutions/PRPC040SAAN-RC/2775214?s=N4IgTCBcDaIAQGUCMAGJSCiBhAtAFhRwDkARO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tabSelected="1" zoomScale="115" zoomScaleNormal="115" workbookViewId="0">
      <pane ySplit="5" topLeftCell="A6" activePane="bottomLeft" state="frozen"/>
      <selection pane="bottomLeft" activeCell="J41" sqref="J41"/>
    </sheetView>
  </sheetViews>
  <sheetFormatPr defaultColWidth="8.6328125" defaultRowHeight="14.5" x14ac:dyDescent="0.35"/>
  <cols>
    <col min="1" max="1" width="5" customWidth="1"/>
    <col min="2" max="2" width="6" customWidth="1"/>
    <col min="3" max="3" width="30" customWidth="1"/>
    <col min="4" max="4" width="44" customWidth="1"/>
    <col min="5" max="5" width="13" customWidth="1"/>
    <col min="6" max="6" width="10" customWidth="1"/>
    <col min="7" max="7" width="11" customWidth="1"/>
    <col min="8" max="8" width="19" customWidth="1"/>
    <col min="9" max="9" width="40" customWidth="1"/>
    <col min="10" max="10" width="73.6328125" customWidth="1"/>
  </cols>
  <sheetData>
    <row r="1" spans="1:10" ht="18" x14ac:dyDescent="0.4">
      <c r="A1" s="3" t="s">
        <v>0</v>
      </c>
    </row>
    <row r="2" spans="1:10" x14ac:dyDescent="0.35">
      <c r="A2" s="4" t="s">
        <v>1</v>
      </c>
      <c r="E2" s="5" t="s">
        <v>2</v>
      </c>
    </row>
    <row r="3" spans="1:10" x14ac:dyDescent="0.35">
      <c r="A3" s="6" t="s">
        <v>3</v>
      </c>
      <c r="E3" s="7" t="s">
        <v>4</v>
      </c>
    </row>
    <row r="5" spans="1:10" x14ac:dyDescent="0.35">
      <c r="A5" s="8" t="s">
        <v>5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10</v>
      </c>
      <c r="G5" s="8" t="s">
        <v>11</v>
      </c>
      <c r="H5" s="8" t="s">
        <v>12</v>
      </c>
      <c r="I5" s="8" t="s">
        <v>13</v>
      </c>
      <c r="J5" s="8" t="s">
        <v>119</v>
      </c>
    </row>
    <row r="6" spans="1:10" x14ac:dyDescent="0.35">
      <c r="A6" s="28" t="s">
        <v>14</v>
      </c>
      <c r="B6" s="28"/>
      <c r="C6" s="28"/>
      <c r="D6" s="28"/>
      <c r="E6" s="28"/>
      <c r="F6" s="28"/>
      <c r="G6" s="28"/>
      <c r="H6" s="28"/>
      <c r="I6" s="28"/>
      <c r="J6" s="28"/>
    </row>
    <row r="7" spans="1:10" x14ac:dyDescent="0.35">
      <c r="A7" s="10">
        <v>1</v>
      </c>
      <c r="B7" s="10">
        <v>4</v>
      </c>
      <c r="C7" s="10" t="s">
        <v>15</v>
      </c>
      <c r="D7" s="11" t="s">
        <v>16</v>
      </c>
      <c r="E7" s="10" t="s">
        <v>17</v>
      </c>
      <c r="F7" s="12">
        <v>5.53</v>
      </c>
      <c r="G7" s="12">
        <f t="shared" ref="G7:G14" si="0">B7*F7</f>
        <v>22.12</v>
      </c>
      <c r="H7" s="10" t="s">
        <v>18</v>
      </c>
      <c r="I7" s="11" t="s">
        <v>19</v>
      </c>
      <c r="J7" s="25" t="s">
        <v>128</v>
      </c>
    </row>
    <row r="8" spans="1:10" x14ac:dyDescent="0.35">
      <c r="A8" s="10">
        <v>2</v>
      </c>
      <c r="B8" s="10">
        <v>4</v>
      </c>
      <c r="C8" s="10" t="s">
        <v>20</v>
      </c>
      <c r="D8" s="11" t="s">
        <v>21</v>
      </c>
      <c r="E8" s="10" t="s">
        <v>22</v>
      </c>
      <c r="F8" s="12">
        <v>1.27</v>
      </c>
      <c r="G8" s="12">
        <f t="shared" si="0"/>
        <v>5.08</v>
      </c>
      <c r="H8" s="10" t="s">
        <v>18</v>
      </c>
      <c r="I8" s="11" t="s">
        <v>23</v>
      </c>
      <c r="J8" s="25" t="s">
        <v>130</v>
      </c>
    </row>
    <row r="9" spans="1:10" x14ac:dyDescent="0.35">
      <c r="A9" s="10">
        <v>3</v>
      </c>
      <c r="B9" s="10">
        <v>10</v>
      </c>
      <c r="C9" s="10" t="s">
        <v>24</v>
      </c>
      <c r="D9" s="11" t="s">
        <v>25</v>
      </c>
      <c r="E9" s="10" t="s">
        <v>26</v>
      </c>
      <c r="F9" s="12">
        <v>0.13</v>
      </c>
      <c r="G9" s="12">
        <f t="shared" si="0"/>
        <v>1.3</v>
      </c>
      <c r="H9" s="10" t="s">
        <v>18</v>
      </c>
      <c r="I9" s="11" t="s">
        <v>27</v>
      </c>
      <c r="J9" s="25" t="s">
        <v>132</v>
      </c>
    </row>
    <row r="10" spans="1:10" x14ac:dyDescent="0.35">
      <c r="A10" s="10">
        <v>4</v>
      </c>
      <c r="B10" s="10">
        <v>12</v>
      </c>
      <c r="C10" s="10" t="s">
        <v>28</v>
      </c>
      <c r="D10" s="11" t="s">
        <v>29</v>
      </c>
      <c r="E10" s="10" t="s">
        <v>30</v>
      </c>
      <c r="F10" s="12">
        <v>0.57399999999999995</v>
      </c>
      <c r="G10" s="12">
        <f t="shared" si="0"/>
        <v>6.8879999999999999</v>
      </c>
      <c r="H10" s="10" t="s">
        <v>31</v>
      </c>
      <c r="I10" s="11" t="s">
        <v>32</v>
      </c>
      <c r="J10" s="25" t="s">
        <v>122</v>
      </c>
    </row>
    <row r="11" spans="1:10" x14ac:dyDescent="0.35">
      <c r="A11" s="10">
        <v>5</v>
      </c>
      <c r="B11" s="10">
        <v>5</v>
      </c>
      <c r="C11" s="10" t="s">
        <v>33</v>
      </c>
      <c r="D11" s="11" t="s">
        <v>34</v>
      </c>
      <c r="E11" s="10" t="s">
        <v>35</v>
      </c>
      <c r="F11" s="12">
        <v>2.198</v>
      </c>
      <c r="G11" s="12">
        <f t="shared" si="0"/>
        <v>10.99</v>
      </c>
      <c r="H11" s="10" t="s">
        <v>31</v>
      </c>
      <c r="I11" s="11" t="s">
        <v>36</v>
      </c>
      <c r="J11" s="25" t="s">
        <v>125</v>
      </c>
    </row>
    <row r="12" spans="1:10" x14ac:dyDescent="0.35">
      <c r="A12" s="10">
        <v>6</v>
      </c>
      <c r="B12" s="10">
        <v>20</v>
      </c>
      <c r="C12" s="10" t="s">
        <v>37</v>
      </c>
      <c r="D12" s="11" t="s">
        <v>38</v>
      </c>
      <c r="E12" s="10" t="s">
        <v>39</v>
      </c>
      <c r="F12" s="12">
        <v>0.42449999999999999</v>
      </c>
      <c r="G12" s="12">
        <f t="shared" si="0"/>
        <v>8.49</v>
      </c>
      <c r="H12" s="10" t="s">
        <v>31</v>
      </c>
      <c r="I12" s="11" t="s">
        <v>40</v>
      </c>
      <c r="J12" s="25" t="s">
        <v>123</v>
      </c>
    </row>
    <row r="13" spans="1:10" x14ac:dyDescent="0.35">
      <c r="A13" s="13">
        <v>7</v>
      </c>
      <c r="B13" s="13">
        <v>1</v>
      </c>
      <c r="C13" s="13" t="s">
        <v>41</v>
      </c>
      <c r="D13" s="14" t="s">
        <v>42</v>
      </c>
      <c r="E13" s="13" t="s">
        <v>30</v>
      </c>
      <c r="F13" s="15">
        <v>0</v>
      </c>
      <c r="G13" s="15">
        <f t="shared" si="0"/>
        <v>0</v>
      </c>
      <c r="H13" s="13" t="s">
        <v>43</v>
      </c>
      <c r="I13" s="14" t="s">
        <v>44</v>
      </c>
    </row>
    <row r="14" spans="1:10" x14ac:dyDescent="0.35">
      <c r="A14" s="16">
        <v>8</v>
      </c>
      <c r="B14" s="16">
        <v>1</v>
      </c>
      <c r="C14" s="16" t="s">
        <v>45</v>
      </c>
      <c r="D14" s="17" t="s">
        <v>46</v>
      </c>
      <c r="E14" s="16" t="s">
        <v>30</v>
      </c>
      <c r="F14" s="18">
        <v>8</v>
      </c>
      <c r="G14" s="18">
        <f t="shared" si="0"/>
        <v>8</v>
      </c>
      <c r="H14" s="16" t="s">
        <v>47</v>
      </c>
      <c r="I14" s="17" t="s">
        <v>48</v>
      </c>
    </row>
    <row r="15" spans="1:10" x14ac:dyDescent="0.35">
      <c r="A15" s="27" t="s">
        <v>49</v>
      </c>
      <c r="B15" s="27"/>
      <c r="C15" s="27"/>
      <c r="D15" s="27"/>
      <c r="E15" s="27"/>
      <c r="F15" s="27"/>
      <c r="G15" s="27"/>
      <c r="H15" s="27"/>
      <c r="I15" s="27"/>
      <c r="J15" s="27"/>
    </row>
    <row r="16" spans="1:10" x14ac:dyDescent="0.35">
      <c r="A16" s="10">
        <v>9</v>
      </c>
      <c r="B16" s="10">
        <v>3</v>
      </c>
      <c r="C16" s="10" t="s">
        <v>50</v>
      </c>
      <c r="D16" s="11" t="s">
        <v>51</v>
      </c>
      <c r="E16" s="10" t="s">
        <v>52</v>
      </c>
      <c r="F16" s="12">
        <v>0.5</v>
      </c>
      <c r="G16" s="12">
        <f>B16*F16</f>
        <v>1.5</v>
      </c>
      <c r="H16" s="10" t="s">
        <v>18</v>
      </c>
      <c r="I16" s="11" t="s">
        <v>53</v>
      </c>
      <c r="J16" s="25" t="s">
        <v>131</v>
      </c>
    </row>
    <row r="17" spans="1:10" x14ac:dyDescent="0.35">
      <c r="A17" s="10">
        <v>10</v>
      </c>
      <c r="B17" s="10">
        <v>5</v>
      </c>
      <c r="C17" s="10" t="s">
        <v>54</v>
      </c>
      <c r="D17" s="11" t="s">
        <v>55</v>
      </c>
      <c r="E17" s="10" t="s">
        <v>56</v>
      </c>
      <c r="F17" s="12">
        <v>1.8979999999999999</v>
      </c>
      <c r="G17" s="12">
        <f>B17*F17</f>
        <v>9.49</v>
      </c>
      <c r="H17" s="10" t="s">
        <v>31</v>
      </c>
      <c r="I17" s="11" t="s">
        <v>57</v>
      </c>
      <c r="J17" s="25" t="s">
        <v>121</v>
      </c>
    </row>
    <row r="18" spans="1:10" x14ac:dyDescent="0.35">
      <c r="A18" s="13">
        <v>11</v>
      </c>
      <c r="B18" s="13">
        <v>1</v>
      </c>
      <c r="C18" s="13" t="s">
        <v>58</v>
      </c>
      <c r="D18" s="14" t="s">
        <v>59</v>
      </c>
      <c r="E18" s="13" t="s">
        <v>30</v>
      </c>
      <c r="F18" s="15">
        <v>0</v>
      </c>
      <c r="G18" s="15">
        <f>B18*F18</f>
        <v>0</v>
      </c>
      <c r="H18" s="13" t="s">
        <v>43</v>
      </c>
      <c r="I18" s="14"/>
    </row>
    <row r="19" spans="1:10" x14ac:dyDescent="0.35">
      <c r="A19" s="9" t="s">
        <v>60</v>
      </c>
      <c r="B19" s="9"/>
      <c r="C19" s="9"/>
      <c r="D19" s="9"/>
      <c r="E19" s="9"/>
      <c r="F19" s="9"/>
      <c r="G19" s="9"/>
      <c r="H19" s="9"/>
      <c r="I19" s="9"/>
    </row>
    <row r="20" spans="1:10" x14ac:dyDescent="0.35">
      <c r="A20" s="13">
        <v>12</v>
      </c>
      <c r="B20" s="13">
        <v>3</v>
      </c>
      <c r="C20" s="13" t="s">
        <v>61</v>
      </c>
      <c r="D20" s="14" t="s">
        <v>62</v>
      </c>
      <c r="E20" s="13" t="s">
        <v>56</v>
      </c>
      <c r="F20" s="15">
        <v>0</v>
      </c>
      <c r="G20" s="15">
        <f>B20*F20</f>
        <v>0</v>
      </c>
      <c r="H20" s="13" t="s">
        <v>43</v>
      </c>
      <c r="I20" s="14" t="s">
        <v>63</v>
      </c>
      <c r="J20" s="25" t="s">
        <v>137</v>
      </c>
    </row>
    <row r="21" spans="1:10" x14ac:dyDescent="0.35">
      <c r="A21" s="9" t="s">
        <v>64</v>
      </c>
      <c r="B21" s="9"/>
      <c r="C21" s="9"/>
      <c r="D21" s="9"/>
      <c r="E21" s="9"/>
      <c r="F21" s="9"/>
      <c r="G21" s="9"/>
      <c r="H21" s="9"/>
      <c r="I21" s="9"/>
    </row>
    <row r="22" spans="1:10" x14ac:dyDescent="0.35">
      <c r="A22" s="10">
        <v>13</v>
      </c>
      <c r="B22" s="10">
        <v>1</v>
      </c>
      <c r="C22" s="10" t="s">
        <v>65</v>
      </c>
      <c r="D22" s="11" t="s">
        <v>66</v>
      </c>
      <c r="E22" s="10" t="s">
        <v>35</v>
      </c>
      <c r="F22" s="12">
        <v>29.67</v>
      </c>
      <c r="G22" s="12">
        <f>B22*F22</f>
        <v>29.67</v>
      </c>
      <c r="H22" s="10" t="s">
        <v>67</v>
      </c>
      <c r="I22" s="11" t="s">
        <v>68</v>
      </c>
      <c r="J22" s="25" t="s">
        <v>127</v>
      </c>
    </row>
    <row r="23" spans="1:10" x14ac:dyDescent="0.35">
      <c r="A23" s="10">
        <v>14</v>
      </c>
      <c r="B23" s="10">
        <v>1</v>
      </c>
      <c r="C23" s="10" t="s">
        <v>69</v>
      </c>
      <c r="D23" s="11" t="s">
        <v>70</v>
      </c>
      <c r="E23" s="10" t="s">
        <v>56</v>
      </c>
      <c r="F23" s="12">
        <v>9.9499999999999993</v>
      </c>
      <c r="G23" s="12">
        <f>B23*F23</f>
        <v>9.9499999999999993</v>
      </c>
      <c r="H23" s="10" t="s">
        <v>18</v>
      </c>
      <c r="I23" s="11" t="s">
        <v>71</v>
      </c>
      <c r="J23" s="25" t="s">
        <v>129</v>
      </c>
    </row>
    <row r="24" spans="1:10" x14ac:dyDescent="0.35">
      <c r="A24" s="10">
        <v>15</v>
      </c>
      <c r="B24" s="10">
        <v>4</v>
      </c>
      <c r="C24" s="10" t="s">
        <v>72</v>
      </c>
      <c r="D24" s="11" t="s">
        <v>73</v>
      </c>
      <c r="E24" s="10" t="s">
        <v>39</v>
      </c>
      <c r="F24" s="12">
        <v>1.7475000000000001</v>
      </c>
      <c r="G24" s="12">
        <f>B24*F24</f>
        <v>6.99</v>
      </c>
      <c r="H24" s="10" t="s">
        <v>31</v>
      </c>
      <c r="I24" s="11" t="s">
        <v>74</v>
      </c>
      <c r="J24" s="25" t="s">
        <v>126</v>
      </c>
    </row>
    <row r="25" spans="1:10" x14ac:dyDescent="0.35">
      <c r="A25" s="13">
        <v>16</v>
      </c>
      <c r="B25" s="13">
        <v>1</v>
      </c>
      <c r="C25" s="13" t="s">
        <v>75</v>
      </c>
      <c r="D25" s="14" t="s">
        <v>76</v>
      </c>
      <c r="E25" s="13" t="s">
        <v>56</v>
      </c>
      <c r="F25" s="15">
        <v>0</v>
      </c>
      <c r="G25" s="15">
        <f>B25*F25</f>
        <v>0</v>
      </c>
      <c r="H25" s="13" t="s">
        <v>43</v>
      </c>
      <c r="I25" s="14" t="s">
        <v>77</v>
      </c>
    </row>
    <row r="26" spans="1:10" x14ac:dyDescent="0.35">
      <c r="A26" s="9" t="s">
        <v>78</v>
      </c>
      <c r="B26" s="9"/>
      <c r="C26" s="9"/>
      <c r="D26" s="9"/>
      <c r="E26" s="9"/>
      <c r="F26" s="9"/>
      <c r="G26" s="9"/>
      <c r="H26" s="9"/>
      <c r="I26" s="9"/>
      <c r="J26" s="9"/>
    </row>
    <row r="27" spans="1:10" x14ac:dyDescent="0.35">
      <c r="A27" s="10">
        <v>17</v>
      </c>
      <c r="B27" s="10">
        <v>6</v>
      </c>
      <c r="C27" s="10" t="s">
        <v>79</v>
      </c>
      <c r="D27" s="11" t="s">
        <v>80</v>
      </c>
      <c r="E27" s="10" t="s">
        <v>30</v>
      </c>
      <c r="F27" s="12">
        <v>1.48</v>
      </c>
      <c r="G27" s="12">
        <f>B27*F27</f>
        <v>8.879999999999999</v>
      </c>
      <c r="H27" s="10" t="s">
        <v>31</v>
      </c>
      <c r="I27" s="11" t="s">
        <v>81</v>
      </c>
      <c r="J27" s="25" t="s">
        <v>124</v>
      </c>
    </row>
    <row r="28" spans="1:10" x14ac:dyDescent="0.35">
      <c r="A28" s="13">
        <v>18</v>
      </c>
      <c r="B28" s="13">
        <v>1</v>
      </c>
      <c r="C28" s="13" t="s">
        <v>82</v>
      </c>
      <c r="D28" s="14" t="s">
        <v>83</v>
      </c>
      <c r="E28" s="13" t="s">
        <v>56</v>
      </c>
      <c r="F28" s="15">
        <v>0</v>
      </c>
      <c r="G28" s="15">
        <f>B28*F28</f>
        <v>0</v>
      </c>
      <c r="H28" s="13" t="s">
        <v>43</v>
      </c>
      <c r="I28" s="14" t="s">
        <v>84</v>
      </c>
    </row>
    <row r="29" spans="1:10" x14ac:dyDescent="0.35">
      <c r="A29" s="13">
        <v>19</v>
      </c>
      <c r="B29" s="13">
        <v>1</v>
      </c>
      <c r="C29" s="13" t="s">
        <v>85</v>
      </c>
      <c r="D29" s="14" t="s">
        <v>86</v>
      </c>
      <c r="E29" s="13" t="s">
        <v>30</v>
      </c>
      <c r="F29" s="15">
        <v>0</v>
      </c>
      <c r="G29" s="15">
        <f>B29*F29</f>
        <v>0</v>
      </c>
      <c r="H29" s="13" t="s">
        <v>43</v>
      </c>
      <c r="I29" s="14"/>
    </row>
    <row r="30" spans="1:10" x14ac:dyDescent="0.35">
      <c r="A30" s="26" t="s">
        <v>87</v>
      </c>
      <c r="B30" s="26"/>
      <c r="C30" s="26"/>
      <c r="D30" s="26"/>
      <c r="E30" s="26"/>
      <c r="F30" s="26"/>
      <c r="G30" s="26"/>
      <c r="H30" s="26"/>
      <c r="I30" s="26"/>
      <c r="J30" s="26"/>
    </row>
    <row r="31" spans="1:10" x14ac:dyDescent="0.35">
      <c r="A31" s="10">
        <v>20</v>
      </c>
      <c r="B31" s="10">
        <v>1</v>
      </c>
      <c r="C31" s="10" t="s">
        <v>88</v>
      </c>
      <c r="D31" s="11" t="s">
        <v>89</v>
      </c>
      <c r="E31" s="10" t="s">
        <v>30</v>
      </c>
      <c r="F31" s="12">
        <v>1.23</v>
      </c>
      <c r="G31" s="12">
        <f>B31*F31</f>
        <v>1.23</v>
      </c>
      <c r="H31" s="10" t="s">
        <v>18</v>
      </c>
      <c r="I31" s="11" t="s">
        <v>90</v>
      </c>
      <c r="J31" s="25" t="s">
        <v>133</v>
      </c>
    </row>
    <row r="32" spans="1:10" x14ac:dyDescent="0.35">
      <c r="A32" s="10">
        <v>21</v>
      </c>
      <c r="B32" s="10">
        <v>560</v>
      </c>
      <c r="C32" s="10" t="s">
        <v>91</v>
      </c>
      <c r="D32" s="11" t="s">
        <v>92</v>
      </c>
      <c r="E32" s="10" t="s">
        <v>93</v>
      </c>
      <c r="F32" s="12">
        <v>1.248E-2</v>
      </c>
      <c r="G32" s="12">
        <f>B32*F32</f>
        <v>6.9887999999999995</v>
      </c>
      <c r="H32" s="10" t="s">
        <v>31</v>
      </c>
      <c r="I32" s="11" t="s">
        <v>94</v>
      </c>
      <c r="J32" s="25" t="s">
        <v>120</v>
      </c>
    </row>
    <row r="33" spans="1:10" x14ac:dyDescent="0.35">
      <c r="A33" s="13">
        <v>22</v>
      </c>
      <c r="B33" s="13">
        <v>2</v>
      </c>
      <c r="C33" s="13" t="s">
        <v>95</v>
      </c>
      <c r="D33" s="14" t="s">
        <v>96</v>
      </c>
      <c r="E33" s="13" t="s">
        <v>93</v>
      </c>
      <c r="F33" s="15">
        <v>0</v>
      </c>
      <c r="G33" s="15">
        <f>B33*F33</f>
        <v>0</v>
      </c>
      <c r="H33" s="13" t="s">
        <v>43</v>
      </c>
      <c r="I33" s="14"/>
    </row>
    <row r="34" spans="1:10" x14ac:dyDescent="0.35">
      <c r="A34" s="16">
        <v>23</v>
      </c>
      <c r="B34" s="16">
        <v>1</v>
      </c>
      <c r="C34" s="16" t="s">
        <v>97</v>
      </c>
      <c r="D34" s="17" t="s">
        <v>98</v>
      </c>
      <c r="E34" s="16" t="s">
        <v>93</v>
      </c>
      <c r="F34" s="18">
        <v>10</v>
      </c>
      <c r="G34" s="18">
        <f>B34*F34</f>
        <v>10</v>
      </c>
      <c r="H34" s="16" t="s">
        <v>47</v>
      </c>
      <c r="I34" s="17" t="s">
        <v>99</v>
      </c>
    </row>
    <row r="35" spans="1:10" x14ac:dyDescent="0.35">
      <c r="A35" s="9" t="s">
        <v>100</v>
      </c>
      <c r="B35" s="9"/>
      <c r="C35" s="9"/>
      <c r="D35" s="9"/>
      <c r="E35" s="9"/>
      <c r="F35" s="9"/>
      <c r="G35" s="9"/>
      <c r="H35" s="9"/>
      <c r="I35" s="9"/>
      <c r="J35" s="9"/>
    </row>
    <row r="36" spans="1:10" x14ac:dyDescent="0.35">
      <c r="A36" s="13">
        <v>24</v>
      </c>
      <c r="B36" s="13">
        <v>1</v>
      </c>
      <c r="C36" s="13" t="s">
        <v>135</v>
      </c>
      <c r="D36" s="14" t="s">
        <v>134</v>
      </c>
      <c r="E36" s="13" t="s">
        <v>93</v>
      </c>
      <c r="F36" s="15">
        <v>0</v>
      </c>
      <c r="G36" s="15">
        <f>B36*F36</f>
        <v>0</v>
      </c>
      <c r="H36" s="13" t="s">
        <v>43</v>
      </c>
      <c r="I36" s="14" t="s">
        <v>101</v>
      </c>
      <c r="J36" s="25" t="s">
        <v>136</v>
      </c>
    </row>
    <row r="37" spans="1:10" x14ac:dyDescent="0.35">
      <c r="A37" s="13">
        <v>25</v>
      </c>
      <c r="B37" s="13">
        <v>1</v>
      </c>
      <c r="C37" s="13" t="s">
        <v>102</v>
      </c>
      <c r="D37" s="14" t="s">
        <v>103</v>
      </c>
      <c r="E37" s="13" t="s">
        <v>93</v>
      </c>
      <c r="F37" s="15">
        <v>0</v>
      </c>
      <c r="G37" s="15">
        <f>B37*F37</f>
        <v>0</v>
      </c>
      <c r="H37" s="13" t="s">
        <v>43</v>
      </c>
      <c r="I37" s="14" t="s">
        <v>104</v>
      </c>
      <c r="J37" s="25" t="s">
        <v>136</v>
      </c>
    </row>
    <row r="38" spans="1:10" x14ac:dyDescent="0.35">
      <c r="A38" s="16">
        <v>26</v>
      </c>
      <c r="B38" s="16">
        <v>1</v>
      </c>
      <c r="C38" s="16" t="s">
        <v>105</v>
      </c>
      <c r="D38" s="17" t="s">
        <v>106</v>
      </c>
      <c r="E38" s="16" t="s">
        <v>56</v>
      </c>
      <c r="F38" s="18">
        <v>8</v>
      </c>
      <c r="G38" s="18">
        <f>B38*F38</f>
        <v>8</v>
      </c>
      <c r="H38" s="16" t="s">
        <v>47</v>
      </c>
      <c r="I38" s="17" t="s">
        <v>107</v>
      </c>
    </row>
    <row r="40" spans="1:10" x14ac:dyDescent="0.35">
      <c r="D40" s="19" t="s">
        <v>108</v>
      </c>
      <c r="G40" s="20">
        <f>SUMIF($H$7:$H$38,"DigiKey",$G$7:$G$38)+SUMIF($H$7:$H$38,"DigiKey MP",$G$7:$G$38)+SUMIF($H$7:$H$38,"Amazon",$G$7:$G$38)</f>
        <v>129.5668</v>
      </c>
    </row>
    <row r="41" spans="1:10" x14ac:dyDescent="0.35">
      <c r="D41" s="4" t="s">
        <v>109</v>
      </c>
      <c r="G41" s="21">
        <v>50.47</v>
      </c>
    </row>
    <row r="42" spans="1:10" x14ac:dyDescent="0.35">
      <c r="D42" s="19" t="s">
        <v>110</v>
      </c>
      <c r="G42" s="22">
        <f>G40+G41</f>
        <v>180.0368</v>
      </c>
    </row>
    <row r="43" spans="1:10" x14ac:dyDescent="0.35">
      <c r="D43" s="4" t="s">
        <v>111</v>
      </c>
      <c r="G43" s="23">
        <f>SUMIF($H$7:$H$38,"NOT BOUGHT",$G$7:$G$38)</f>
        <v>26</v>
      </c>
    </row>
    <row r="44" spans="1:10" x14ac:dyDescent="0.35">
      <c r="D44" s="4" t="s">
        <v>112</v>
      </c>
      <c r="G44" s="24">
        <v>0</v>
      </c>
    </row>
    <row r="46" spans="1:10" ht="15" customHeight="1" x14ac:dyDescent="0.35">
      <c r="A46" s="2" t="s">
        <v>13</v>
      </c>
      <c r="B46" s="2"/>
      <c r="C46" s="2"/>
      <c r="D46" s="2"/>
      <c r="E46" s="2"/>
      <c r="F46" s="2"/>
      <c r="G46" s="2"/>
      <c r="H46" s="2"/>
      <c r="I46" s="2"/>
    </row>
    <row r="47" spans="1:10" ht="15" customHeight="1" x14ac:dyDescent="0.35">
      <c r="A47" s="1" t="s">
        <v>113</v>
      </c>
      <c r="B47" s="1"/>
      <c r="C47" s="1"/>
      <c r="D47" s="1"/>
      <c r="E47" s="1"/>
      <c r="F47" s="1"/>
      <c r="G47" s="1"/>
      <c r="H47" s="1"/>
      <c r="I47" s="1"/>
    </row>
    <row r="48" spans="1:10" ht="15" customHeight="1" x14ac:dyDescent="0.35">
      <c r="A48" s="1" t="s">
        <v>114</v>
      </c>
      <c r="B48" s="1"/>
      <c r="C48" s="1"/>
      <c r="D48" s="1"/>
      <c r="E48" s="1"/>
      <c r="F48" s="1"/>
      <c r="G48" s="1"/>
      <c r="H48" s="1"/>
      <c r="I48" s="1"/>
    </row>
    <row r="49" spans="1:9" ht="15" customHeight="1" x14ac:dyDescent="0.35">
      <c r="A49" s="1" t="s">
        <v>115</v>
      </c>
      <c r="B49" s="1"/>
      <c r="C49" s="1"/>
      <c r="D49" s="1"/>
      <c r="E49" s="1"/>
      <c r="F49" s="1"/>
      <c r="G49" s="1"/>
      <c r="H49" s="1"/>
      <c r="I49" s="1"/>
    </row>
    <row r="50" spans="1:9" ht="22.4" customHeight="1" x14ac:dyDescent="0.35">
      <c r="A50" s="1" t="s">
        <v>116</v>
      </c>
      <c r="B50" s="1"/>
      <c r="C50" s="1"/>
      <c r="D50" s="1"/>
      <c r="E50" s="1"/>
      <c r="F50" s="1"/>
      <c r="G50" s="1"/>
      <c r="H50" s="1"/>
      <c r="I50" s="1"/>
    </row>
    <row r="51" spans="1:9" ht="15" customHeight="1" x14ac:dyDescent="0.35">
      <c r="A51" s="1" t="s">
        <v>117</v>
      </c>
      <c r="B51" s="1"/>
      <c r="C51" s="1"/>
      <c r="D51" s="1"/>
      <c r="E51" s="1"/>
      <c r="F51" s="1"/>
      <c r="G51" s="1"/>
      <c r="H51" s="1"/>
      <c r="I51" s="1"/>
    </row>
    <row r="52" spans="1:9" ht="15" customHeight="1" x14ac:dyDescent="0.35">
      <c r="A52" s="1" t="s">
        <v>118</v>
      </c>
      <c r="B52" s="1"/>
      <c r="C52" s="1"/>
      <c r="D52" s="1"/>
      <c r="E52" s="1"/>
      <c r="F52" s="1"/>
      <c r="G52" s="1"/>
      <c r="H52" s="1"/>
      <c r="I52" s="1"/>
    </row>
  </sheetData>
  <mergeCells count="8">
    <mergeCell ref="A49:I49"/>
    <mergeCell ref="A50:I50"/>
    <mergeCell ref="A51:I51"/>
    <mergeCell ref="A52:I52"/>
    <mergeCell ref="A30:J30"/>
    <mergeCell ref="A46:I46"/>
    <mergeCell ref="A47:I47"/>
    <mergeCell ref="A48:I48"/>
  </mergeCells>
  <hyperlinks>
    <hyperlink ref="J32" r:id="rId1" xr:uid="{A1E13346-1175-4D8A-9F6E-9C97A4FABDAA}"/>
    <hyperlink ref="J17" r:id="rId2" xr:uid="{E560C645-D3D4-4C5D-A8F5-887D3B279B5D}"/>
    <hyperlink ref="J10" r:id="rId3" xr:uid="{EE466A1F-D95E-4F9B-84D5-548C3DABD4C5}"/>
    <hyperlink ref="J12" r:id="rId4" xr:uid="{5B12462A-D409-439E-B718-201B0155E37E}"/>
    <hyperlink ref="J27" r:id="rId5" xr:uid="{A42E740D-B981-412A-8C6C-CB4EEAFA22D9}"/>
    <hyperlink ref="J11" r:id="rId6" xr:uid="{6C072A7E-7871-4576-ACC0-B5349AEBAB05}"/>
    <hyperlink ref="J24" r:id="rId7" xr:uid="{CF2B7724-3CE8-4945-A498-2EC4A33961A6}"/>
    <hyperlink ref="J22" r:id="rId8" xr:uid="{3F3E9DD5-595E-41F2-87FD-708A50AE9DE4}"/>
    <hyperlink ref="J7" r:id="rId9" xr:uid="{5CB14E2B-5A65-4588-AC28-C2798E296598}"/>
    <hyperlink ref="J23" r:id="rId10" xr:uid="{CBB3EE08-58F6-459E-92EB-763015F91AA1}"/>
    <hyperlink ref="J8" r:id="rId11" xr:uid="{E0B5D3FE-6978-4606-9976-62B4E1F52D5E}"/>
    <hyperlink ref="J16" r:id="rId12" xr:uid="{03A1BFD5-891C-4231-A942-86AFD222A424}"/>
    <hyperlink ref="J9" r:id="rId13" xr:uid="{C3086C02-13C6-43B0-B02B-D4EC25FB153C}"/>
    <hyperlink ref="J31" r:id="rId14" xr:uid="{7C0C7448-B595-4113-B3D7-71F94AD9ABE9}"/>
    <hyperlink ref="J37" r:id="rId15" xr:uid="{55DCC4B0-3070-498D-AC35-8DABF19D287D}"/>
    <hyperlink ref="J36" r:id="rId16" xr:uid="{118E5918-9598-493C-804A-12FFB3790922}"/>
    <hyperlink ref="J20" r:id="rId17" xr:uid="{E3931392-3696-4975-A6B5-7B40C029CCCE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Paul Simbulan</cp:lastModifiedBy>
  <cp:revision>0</cp:revision>
  <dcterms:created xsi:type="dcterms:W3CDTF">2026-09-15T01:43:47Z</dcterms:created>
  <dcterms:modified xsi:type="dcterms:W3CDTF">2026-09-15T02:11:23Z</dcterms:modified>
  <dc:language>en-US</dc:language>
</cp:coreProperties>
</file>
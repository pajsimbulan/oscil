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<sst xmlns="http://schemas.openxmlformats.org/spreadsheetml/2006/main" count="185" uniqueCount="144">
  <si>
    <t xml:space="preserve">Oscil — Bill of Materials</t>
  </si>
  <si>
    <t xml:space="preserve">Two-channel digital storage oscilloscope · ESP32-S3 · prototype stage</t>
  </si>
  <si>
    <t xml:space="preserve">Green = already owned</t>
  </si>
  <si>
    <t xml:space="preserve">Paul Simbulan · Rev 0.2 · 21-Sep-2026</t>
  </si>
  <si>
    <t xml:space="preserve">Amber = gap, not yet sourced</t>
  </si>
  <si>
    <t xml:space="preserve">#</t>
  </si>
  <si>
    <t xml:space="preserve">Qty</t>
  </si>
  <si>
    <t xml:space="preserve">Part</t>
  </si>
  <si>
    <t xml:space="preserve">Description</t>
  </si>
  <si>
    <t xml:space="preserve">Package</t>
  </si>
  <si>
    <t xml:space="preserve">Unit $</t>
  </si>
  <si>
    <t xml:space="preserve">Ext $</t>
  </si>
  <si>
    <t xml:space="preserve">Source</t>
  </si>
  <si>
    <t xml:space="preserve">Notes</t>
  </si>
  <si>
    <t xml:space="preserve">Link</t>
  </si>
  <si>
    <t xml:space="preserve">ANALOG FRONT END</t>
  </si>
  <si>
    <t xml:space="preserve">ADS7883SBDBVR</t>
  </si>
  <si>
    <t xml:space="preserve">ADC, 12-bit 3 MSPS SAR, SPI</t>
  </si>
  <si>
    <t xml:space="preserve">SOT-23-6</t>
  </si>
  <si>
    <t xml:space="preserve">DigiKey</t>
  </si>
  <si>
    <t xml:space="preserve">Reference = supply rail</t>
  </si>
  <si>
    <t xml:space="preserve">https://www.digikey.com/en/products/detail/texas-instruments/ADS7883SBDBVR/2047152?s=N4IgTCBcDa4JwDYC0AWAHOgDEgjEgcgCIgC6AvkA</t>
  </si>
  <si>
    <t xml:space="preserve">MCP6292-E/P</t>
  </si>
  <si>
    <t xml:space="preserve">Op-amp, dual, 10 MHz, rail-to-rail</t>
  </si>
  <si>
    <t xml:space="preserve">8-PDIP</t>
  </si>
  <si>
    <t xml:space="preserve">Ref buffer, AFE ch1, AFE ch2, generator: all 4 used</t>
  </si>
  <si>
    <t xml:space="preserve">https://www.digikey.com/en/products/detail/microchip-technology/MCP6292-E-P/574102?s=N4IgTCBcDaILIGEAKA2MBOMBaAogeiSwDkAREAXQF8g</t>
  </si>
  <si>
    <t xml:space="preserve">BAV99</t>
  </si>
  <si>
    <t xml:space="preserve">Diode array, 75 V</t>
  </si>
  <si>
    <t xml:space="preserve">SOT-23-3</t>
  </si>
  <si>
    <t xml:space="preserve">Input clamp to rails</t>
  </si>
  <si>
    <t xml:space="preserve">https://www.digikey.com/en/products/detail/smc-diode-solutions/BAV99/6022507?s=N4IgTCBcDaIIwDYCsSC0AhAggNQJy4GEAVVAOQBEQBdAXyA</t>
  </si>
  <si>
    <t xml:space="preserve">Cylewet CYT1018</t>
  </si>
  <si>
    <t xml:space="preserve">Trimmer capacitors, 5-60 pF</t>
  </si>
  <si>
    <t xml:space="preserve">THT</t>
  </si>
  <si>
    <t xml:space="preserve">Amazon</t>
  </si>
  <si>
    <t xml:space="preserve">Attenuator compensation</t>
  </si>
  <si>
    <t xml:space="preserve">https://a.co/d/0cBGTOYl</t>
  </si>
  <si>
    <t xml:space="preserve">Superbat BNC</t>
  </si>
  <si>
    <t xml:space="preserve">BNC female panel mount, solder</t>
  </si>
  <si>
    <t xml:space="preserve">Panel</t>
  </si>
  <si>
    <t xml:space="preserve">CH1, CH2, GEN out, 2 spare</t>
  </si>
  <si>
    <t xml:space="preserve">https://a.co/d/0bSwA5N5</t>
  </si>
  <si>
    <t xml:space="preserve">Cermant SOT23-6 adapter</t>
  </si>
  <si>
    <t xml:space="preserve">SMD to DIP breakout</t>
  </si>
  <si>
    <t xml:space="preserve">PCB</t>
  </si>
  <si>
    <t xml:space="preserve">For ADS7883 and BAV99</t>
  </si>
  <si>
    <t xml:space="preserve">https://a.co/d/09HmNMVi</t>
  </si>
  <si>
    <t xml:space="preserve">Resistors, 1% metal film</t>
  </si>
  <si>
    <t xml:space="preserve">Attenuator, offset, bias, limiting</t>
  </si>
  <si>
    <t xml:space="preserve">On hand</t>
  </si>
  <si>
    <t xml:space="preserve">Need 10k x15, 20k x10, 750k x2, 249k x2 (or 240k+10k), 150R x2, 330R x3, 4.7k x2, 75R, 51R</t>
  </si>
  <si>
    <t xml:space="preserve">EEEEE 30-value MLCC kit</t>
  </si>
  <si>
    <t xml:space="preserve">Ceramic caps 10 pF-10 uF, 10 each, 50 V</t>
  </si>
  <si>
    <t xml:space="preserve">Rev A: 470p, 1n, 2.2n, 10n, 1u from here. Dielectric unstated, DMM-verify. C0G for Rev B</t>
  </si>
  <si>
    <t xml:space="preserve">https://a.co/d/0dSCox0r</t>
  </si>
  <si>
    <t xml:space="preserve">POWER</t>
  </si>
  <si>
    <t xml:space="preserve">MCP1700-3302E/TO</t>
  </si>
  <si>
    <t xml:space="preserve">LDO, 3.3 V, 250 mA</t>
  </si>
  <si>
    <t xml:space="preserve">TO-92</t>
  </si>
  <si>
    <t xml:space="preserve">Analog rail (+3V3_A) only, 2 spare</t>
  </si>
  <si>
    <t xml:space="preserve">https://www.digikey.com/en/products/detail/microchip-technology/MCP1700-3302E-TO/652680?s=N4IgTCBcDaILIGEAKBGA7ABgwWgMy4zAFEB6AFQHlsA5AEQAIQBdAXyA</t>
  </si>
  <si>
    <t xml:space="preserve">HiLetgo XL6009</t>
  </si>
  <si>
    <t xml:space="preserve">Boost module, 3-32 V to 5-35 V</t>
  </si>
  <si>
    <t xml:space="preserve">Module</t>
  </si>
  <si>
    <t xml:space="preserve">Backlight 25.6 V @ 60 mA</t>
  </si>
  <si>
    <t xml:space="preserve">https://a.co/d/02AsqIvb</t>
  </si>
  <si>
    <t xml:space="preserve">Caps 100 nF / 10 uF / 100 uF</t>
  </si>
  <si>
    <t xml:space="preserve">Decoupling and bulk</t>
  </si>
  <si>
    <t xml:space="preserve">PROCESSING</t>
  </si>
  <si>
    <t xml:space="preserve">ESP32-S3-WROOM-1-N16R8</t>
  </si>
  <si>
    <t xml:space="preserve">MCU dev board</t>
  </si>
  <si>
    <t xml:space="preserve">#1 acquisition, #2 display, #3 generator</t>
  </si>
  <si>
    <t xml:space="preserve">https://a.co/d/0bcMUA3H</t>
  </si>
  <si>
    <t xml:space="preserve">DISPLAY AND TOUCH</t>
  </si>
  <si>
    <t xml:space="preserve">AFY800480B0-7.0N12NTM-C</t>
  </si>
  <si>
    <t xml:space="preserve">7" 800x480 RGB TFT + GT911 touch</t>
  </si>
  <si>
    <t xml:space="preserve">DigiKey MP</t>
  </si>
  <si>
    <t xml:space="preserve">EOL — sub: Newhaven NHD-7.0-800480EF</t>
  </si>
  <si>
    <t xml:space="preserve">https://www.digikey.com/en/products/detail/orient-display/AFY800480B0-7-0N12NTM-C/12089250?s=N4IgTCBcDa4KwBYEFoCCAxAmgDgAy4TwCFdkB2EAXQF8g</t>
  </si>
  <si>
    <t xml:space="preserve">Adafruit 1932</t>
  </si>
  <si>
    <t xml:space="preserve">40-pin TFT FPC breakout</t>
  </si>
  <si>
    <t xml:space="preserve">Connector only — backlight drv unused</t>
  </si>
  <si>
    <t xml:space="preserve">https://www.digikey.com/en/products/detail/adafruit-industries-llc/1932/5761222?s=N4IgTCBcDaIAQEYCsYAcBaBAWJX0DkAREAXQF8g</t>
  </si>
  <si>
    <t xml:space="preserve">MTCELL FPC 6-pin</t>
  </si>
  <si>
    <t xml:space="preserve">FFC to DIP, dual 1.0/0.5 mm</t>
  </si>
  <si>
    <t xml:space="preserve">GT911 touch tail</t>
  </si>
  <si>
    <t xml:space="preserve">https://a.co/d/07UskTTP</t>
  </si>
  <si>
    <t xml:space="preserve">ST7789 240x320 SPI TFT</t>
  </si>
  <si>
    <t xml:space="preserve">Interim display, Phase 1</t>
  </si>
  <si>
    <t xml:space="preserve">Render loop target before 7" arrives</t>
  </si>
  <si>
    <t xml:space="preserve">USER INTERFACE</t>
  </si>
  <si>
    <t xml:space="preserve">WWZMDiB EC11</t>
  </si>
  <si>
    <t xml:space="preserve">Rotary encoder + knob cap</t>
  </si>
  <si>
    <t xml:space="preserve">s/div, V/div, trigger level</t>
  </si>
  <si>
    <t xml:space="preserve">https://a.co/d/0f5mQg6T</t>
  </si>
  <si>
    <t xml:space="preserve">KY-040 encoder</t>
  </si>
  <si>
    <t xml:space="preserve">Rotary encoder</t>
  </si>
  <si>
    <t xml:space="preserve">Spare / 4th</t>
  </si>
  <si>
    <t xml:space="preserve">Tactile buttons, LEDs</t>
  </si>
  <si>
    <t xml:space="preserve">RUN, SINGLE, GEN buttons · RUN, TRIG, ARM LEDs</t>
  </si>
  <si>
    <t xml:space="preserve">INTERCONNECT</t>
  </si>
  <si>
    <t xml:space="preserve">PRPC040SAAN-RC</t>
  </si>
  <si>
    <t xml:space="preserve">Header, male, 40-pos, 2.54 mm</t>
  </si>
  <si>
    <t xml:space="preserve">Breakaway</t>
  </si>
  <si>
    <t xml:space="preserve">https://www.digikey.com/en/products/detail/sullins-connector-solutions/PRPC040SAAN-RC/2775214?s=N4IgTCBcDaIAQGUCMAGJSCiBhAtAFhRwDkAROEAXQF8g</t>
  </si>
  <si>
    <t xml:space="preserve">Dorhea jumper wire kit</t>
  </si>
  <si>
    <t xml:space="preserve">Jumper wires, 14 values</t>
  </si>
  <si>
    <t xml:space="preserve">-</t>
  </si>
  <si>
    <t xml:space="preserve">Breadboard interconnect</t>
  </si>
  <si>
    <t xml:space="preserve">https://a.co/d/04z6zcu7</t>
  </si>
  <si>
    <t xml:space="preserve">Breadboard, 830 tie point</t>
  </si>
  <si>
    <t xml:space="preserve">Prototype substrate</t>
  </si>
  <si>
    <t xml:space="preserve">HUAREW breadboard kit</t>
  </si>
  <si>
    <t xml:space="preserve">Breadboards 2x 830 + 2x 400, 120 jumpers</t>
  </si>
  <si>
    <t xml:space="preserve">Extra boards: three MCUs + AFE need the space</t>
  </si>
  <si>
    <t xml:space="preserve">https://a.co/d/0bRym9Uv</t>
  </si>
  <si>
    <t xml:space="preserve">Perfboard w/ ground plane</t>
  </si>
  <si>
    <t xml:space="preserve">For RGB bus and 32 MHz SPI</t>
  </si>
  <si>
    <t xml:space="preserve">NOT BOUGHT</t>
  </si>
  <si>
    <t xml:space="preserve">Needed when breadboard fails</t>
  </si>
  <si>
    <t xml:space="preserve">TEST AND VALIDATION</t>
  </si>
  <si>
    <t xml:space="preserve">FNIRSI 2C53T </t>
  </si>
  <si>
    <t xml:space="preserve">Oscilloscope + Function Generator</t>
  </si>
  <si>
    <t xml:space="preserve">VALIDATION GROUND TRUTH</t>
  </si>
  <si>
    <t xml:space="preserve">https://a.co/d/01g446Bb</t>
  </si>
  <si>
    <t xml:space="preserve">FX2LP + PulseView</t>
  </si>
  <si>
    <t xml:space="preserve">Logic analyzer</t>
  </si>
  <si>
    <t xml:space="preserve">SPI bring-up, trigger latency</t>
  </si>
  <si>
    <t xml:space="preserve">MCP4725 DAC breakout</t>
  </si>
  <si>
    <t xml:space="preserve">12-bit I2C DAC</t>
  </si>
  <si>
    <t xml:space="preserve">CANCELLED</t>
  </si>
  <si>
    <t xml:space="preserve">Replaced by R-2R ladder on board 3</t>
  </si>
  <si>
    <t xml:space="preserve">Parts purchased</t>
  </si>
  <si>
    <t xml:space="preserve">Shipping, tariff and tax (all four orders)</t>
  </si>
  <si>
    <t xml:space="preserve">LANDED COST TO DATE</t>
  </si>
  <si>
    <t xml:space="preserve">Outstanding gaps (amber rows)</t>
  </si>
  <si>
    <t xml:space="preserve">Equipment on hand (green rows)</t>
  </si>
  <si>
    <t xml:space="preserve">1. Amazon unit prices are pack price / pack quantity, so Ext $ reconciles to the order totals.</t>
  </si>
  <si>
    <t xml:space="preserve">2. Orders: DigiKey Inv 132648539 ($70.54) · DigiKey Marketplace Inv 132648493 ($52.56) · Amazon 111-6299766 ($61.16) · Amazon 112-0437042 ($7.67). Grand total $191.93. Later: Amazon EEEEE cap kit $9.99, HUAREW breadboard kit $9.99.</t>
  </si>
  <si>
    <t xml:space="preserve">3. Excluded: 2x CAN transceiver breakout (separate lab work, $7.90) and solder flux (consumable, $3.99).</t>
  </si>
  <si>
    <t xml:space="preserve">4. Adafruit 1932's onboard backlight driver is rated 24 V / 7-LED strings. The panel is 8 LEDs at 25.6 V and will not light from it — the board is used for its FPC connector only, with the XL6009 driving LEDA/LEDK through a 75 ohm series resistor.</t>
  </si>
  <si>
    <t xml:space="preserve">5. Display is end-of-life. Production substitute: Newhaven NHD-7.0-800480EF-ATXL#-CTP.</t>
  </si>
  <si>
    <t xml:space="preserve">6. Filter caps are C0G by design (X7R shifts the corner with temperature and bias). Rev A uses the EEEEE kit with values DMM-verified; C0G returns for Rev B.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</si>
</sst>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;&quot;($&quot;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u val="single"/>
      <sz val="11"/>
      <color theme="10"/>
      <name val="Calibri"/>
      <family val="2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2EFDA"/>
        <bgColor rgb="FFD9E2F3"/>
      </patternFill>
    </fill>
    <fill>
      <patternFill patternType="solid">
        <fgColor rgb="FFFFF2CC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D9E2F3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igikey.com/en/products/detail/texas-instruments/ADS7883SBDBVR/2047152?s=N4IgTCBcDa4JwDYC0AWAHOgDEgjEgcgCIgC6AvkA" TargetMode="External"/><Relationship Id="rId2" Type="http://schemas.openxmlformats.org/officeDocument/2006/relationships/hyperlink" Target="https://www.digikey.com/en/products/detail/microchip-technology/MCP6292-E-P/574102?s=N4IgTCBcDaILIGEAKA2MBOMBaAogeiSwDkAREAXQF8g" TargetMode="External"/><Relationship Id="rId3" Type="http://schemas.openxmlformats.org/officeDocument/2006/relationships/hyperlink" Target="https://www.digikey.com/en/products/detail/smc-diode-solutions/BAV99/6022507?s=N4IgTCBcDaIIwDYCsSC0AhAggNQJy4GEAVVAOQBEQBdAXyA" TargetMode="External"/><Relationship Id="rId4" Type="http://schemas.openxmlformats.org/officeDocument/2006/relationships/hyperlink" Target="https://a.co/d/0cBGTOYl" TargetMode="External"/><Relationship Id="rId5" Type="http://schemas.openxmlformats.org/officeDocument/2006/relationships/hyperlink" Target="https://a.co/d/0bSwA5N5" TargetMode="External"/><Relationship Id="rId6" Type="http://schemas.openxmlformats.org/officeDocument/2006/relationships/hyperlink" Target="https://a.co/d/09HmNMVi" TargetMode="External"/><Relationship Id="rId7" Type="http://schemas.openxmlformats.org/officeDocument/2006/relationships/hyperlink" Target="https://www.digikey.com/en/products/detail/microchip-technology/MCP1700-3302E-TO/652680?s=N4IgTCBcDaILIGEAKBGA7ABgwWgMy4zAFEB6AFQHlsA5AEQAIQBdAXyA" TargetMode="External"/><Relationship Id="rId8" Type="http://schemas.openxmlformats.org/officeDocument/2006/relationships/hyperlink" Target="https://a.co/d/02AsqIvb" TargetMode="External"/><Relationship Id="rId9" Type="http://schemas.openxmlformats.org/officeDocument/2006/relationships/hyperlink" Target="https://a.co/d/0bcMUA3H" TargetMode="External"/><Relationship Id="rId10" Type="http://schemas.openxmlformats.org/officeDocument/2006/relationships/hyperlink" Target="https://www.digikey.com/en/products/detail/orient-display/AFY800480B0-7-0N12NTM-C/12089250?s=N4IgTCBcDa4KwBYEFoCCAxAmgDgAy4TwCFdkB2EAXQF8g" TargetMode="External"/><Relationship Id="rId11" Type="http://schemas.openxmlformats.org/officeDocument/2006/relationships/hyperlink" Target="https://www.digikey.com/en/products/detail/adafruit-industries-llc/1932/5761222?s=N4IgTCBcDaIAQEYCsYAcBaBAWJX0DkAREAXQF8g" TargetMode="External"/><Relationship Id="rId12" Type="http://schemas.openxmlformats.org/officeDocument/2006/relationships/hyperlink" Target="https://a.co/d/07UskTTP" TargetMode="External"/><Relationship Id="rId13" Type="http://schemas.openxmlformats.org/officeDocument/2006/relationships/hyperlink" Target="https://a.co/d/0f5mQg6T" TargetMode="External"/><Relationship Id="rId14" Type="http://schemas.openxmlformats.org/officeDocument/2006/relationships/hyperlink" Target="https://www.digikey.com/en/products/detail/sullins-connector-solutions/PRPC040SAAN-RC/2775214?s=N4IgTCBcDaIAQGUCMAGJSCiBhAtAFhRwDkAROEAXQF8g" TargetMode="External"/><Relationship Id="rId15" Type="http://schemas.openxmlformats.org/officeDocument/2006/relationships/hyperlink" Target="https://a.co/d/04z6zcu7" TargetMode="External"/><Relationship Id="rId16" Type="http://schemas.openxmlformats.org/officeDocument/2006/relationships/hyperlink" Target="https://a.co/d/01g446Bb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3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pane xSplit="0" ySplit="5" topLeftCell="A6" activePane="bottomLeft" state="frozen"/>
      <selection pane="topLeft" activeCell="A1" activeCellId="0" sqref="A1"/>
      <selection pane="bottomLeft" activeCell="J41" activeCellId="0" sqref="J4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44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9"/>
    <col collapsed="false" customWidth="true" hidden="false" outlineLevel="0" max="9" min="9" style="0" width="40"/>
    <col collapsed="false" customWidth="true" hidden="false" outlineLevel="0" max="10" min="10" style="0" width="73.63"/>
  </cols>
  <sheetData>
    <row r="1" customFormat="false" ht="18" hidden="false" customHeight="true" outlineLevel="0" collapsed="false">
      <c r="A1" s="1" t="s">
        <v>0</v>
      </c>
    </row>
    <row r="2" customFormat="false" ht="14.25" hidden="false" customHeight="false" outlineLevel="0" collapsed="false">
      <c r="A2" s="2" t="s">
        <v>1</v>
      </c>
      <c r="E2" s="3" t="s">
        <v>2</v>
      </c>
    </row>
    <row r="3" customFormat="false" ht="14.25" hidden="false" customHeight="false" outlineLevel="0" collapsed="false">
      <c r="A3" s="4" t="s">
        <v>3</v>
      </c>
      <c r="E3" s="5" t="s">
        <v>4</v>
      </c>
    </row>
    <row r="5" customFormat="false" ht="14.25" hidden="false" customHeight="false" outlineLevel="0" collapsed="false">
      <c r="A5" s="6" t="s">
        <v>5</v>
      </c>
      <c r="B5" s="6" t="s">
        <v>6</v>
      </c>
      <c r="C5" s="6" t="s">
        <v>7</v>
      </c>
      <c r="D5" s="6" t="s">
        <v>8</v>
      </c>
      <c r="E5" s="6" t="s">
        <v>9</v>
      </c>
      <c r="F5" s="6" t="s">
        <v>10</v>
      </c>
      <c r="G5" s="6" t="s">
        <v>11</v>
      </c>
      <c r="H5" s="6" t="s">
        <v>12</v>
      </c>
      <c r="I5" s="6" t="s">
        <v>13</v>
      </c>
      <c r="J5" s="6" t="s">
        <v>14</v>
      </c>
    </row>
    <row r="6" customFormat="false" ht="14.25" hidden="false" customHeight="false" outlineLevel="0" collapsed="false">
      <c r="A6" s="7" t="s">
        <v>15</v>
      </c>
      <c r="B6" s="7"/>
      <c r="C6" s="7"/>
      <c r="D6" s="7"/>
      <c r="E6" s="7"/>
      <c r="F6" s="7"/>
      <c r="G6" s="7"/>
      <c r="H6" s="7"/>
      <c r="I6" s="7"/>
      <c r="J6" s="7"/>
    </row>
    <row r="7" customFormat="false" ht="14.25" hidden="false" customHeight="false" outlineLevel="0" collapsed="false">
      <c r="A7" s="8" t="n">
        <v>1</v>
      </c>
      <c r="B7" s="8" t="n">
        <v>4</v>
      </c>
      <c r="C7" s="8" t="s">
        <v>16</v>
      </c>
      <c r="D7" s="9" t="s">
        <v>17</v>
      </c>
      <c r="E7" s="8" t="s">
        <v>18</v>
      </c>
      <c r="F7" s="10" t="n">
        <v>5.53</v>
      </c>
      <c r="G7" s="10" t="n">
        <f aca="false">B7*F7</f>
        <v>22.12</v>
      </c>
      <c r="H7" s="8" t="s">
        <v>19</v>
      </c>
      <c r="I7" s="9" t="s">
        <v>20</v>
      </c>
      <c r="J7" s="11" t="s">
        <v>21</v>
      </c>
    </row>
    <row r="8" customFormat="false" ht="23.85" hidden="false" customHeight="false" outlineLevel="0" collapsed="false">
      <c r="A8" s="8" t="n">
        <v>2</v>
      </c>
      <c r="B8" s="8" t="n">
        <v>4</v>
      </c>
      <c r="C8" s="8" t="s">
        <v>22</v>
      </c>
      <c r="D8" s="9" t="s">
        <v>23</v>
      </c>
      <c r="E8" s="8" t="s">
        <v>24</v>
      </c>
      <c r="F8" s="10" t="n">
        <v>1.27</v>
      </c>
      <c r="G8" s="10" t="n">
        <f aca="false">B8*F8</f>
        <v>5.08</v>
      </c>
      <c r="H8" s="8" t="s">
        <v>19</v>
      </c>
      <c r="I8" s="9" t="s">
        <v>25</v>
      </c>
      <c r="J8" s="11" t="s">
        <v>26</v>
      </c>
    </row>
    <row r="9" customFormat="false" ht="14.25" hidden="false" customHeight="false" outlineLevel="0" collapsed="false">
      <c r="A9" s="8" t="n">
        <v>3</v>
      </c>
      <c r="B9" s="8" t="n">
        <v>10</v>
      </c>
      <c r="C9" s="8" t="s">
        <v>27</v>
      </c>
      <c r="D9" s="9" t="s">
        <v>28</v>
      </c>
      <c r="E9" s="8" t="s">
        <v>29</v>
      </c>
      <c r="F9" s="10" t="n">
        <v>0.13</v>
      </c>
      <c r="G9" s="10" t="n">
        <f aca="false">B9*F9</f>
        <v>1.3</v>
      </c>
      <c r="H9" s="8" t="s">
        <v>19</v>
      </c>
      <c r="I9" s="9" t="s">
        <v>30</v>
      </c>
      <c r="J9" s="11" t="s">
        <v>31</v>
      </c>
    </row>
    <row r="10" customFormat="false" ht="14.25" hidden="false" customHeight="false" outlineLevel="0" collapsed="false">
      <c r="A10" s="8" t="n">
        <v>4</v>
      </c>
      <c r="B10" s="8" t="n">
        <v>12</v>
      </c>
      <c r="C10" s="8" t="s">
        <v>32</v>
      </c>
      <c r="D10" s="9" t="s">
        <v>33</v>
      </c>
      <c r="E10" s="8" t="s">
        <v>34</v>
      </c>
      <c r="F10" s="10" t="n">
        <v>0.574</v>
      </c>
      <c r="G10" s="10" t="n">
        <f aca="false">B10*F10</f>
        <v>6.888</v>
      </c>
      <c r="H10" s="8" t="s">
        <v>35</v>
      </c>
      <c r="I10" s="9" t="s">
        <v>36</v>
      </c>
      <c r="J10" s="11" t="s">
        <v>37</v>
      </c>
    </row>
    <row r="11" customFormat="false" ht="14.25" hidden="false" customHeight="false" outlineLevel="0" collapsed="false">
      <c r="A11" s="8" t="n">
        <v>5</v>
      </c>
      <c r="B11" s="8" t="n">
        <v>5</v>
      </c>
      <c r="C11" s="8" t="s">
        <v>38</v>
      </c>
      <c r="D11" s="9" t="s">
        <v>39</v>
      </c>
      <c r="E11" s="8" t="s">
        <v>40</v>
      </c>
      <c r="F11" s="10" t="n">
        <v>2.198</v>
      </c>
      <c r="G11" s="10" t="n">
        <f aca="false">B11*F11</f>
        <v>10.99</v>
      </c>
      <c r="H11" s="8" t="s">
        <v>35</v>
      </c>
      <c r="I11" s="9" t="s">
        <v>41</v>
      </c>
      <c r="J11" s="11" t="s">
        <v>42</v>
      </c>
    </row>
    <row r="12" customFormat="false" ht="14.25" hidden="false" customHeight="false" outlineLevel="0" collapsed="false">
      <c r="A12" s="8" t="n">
        <v>6</v>
      </c>
      <c r="B12" s="8" t="n">
        <v>20</v>
      </c>
      <c r="C12" s="8" t="s">
        <v>43</v>
      </c>
      <c r="D12" s="9" t="s">
        <v>44</v>
      </c>
      <c r="E12" s="8" t="s">
        <v>45</v>
      </c>
      <c r="F12" s="10" t="n">
        <v>0.4245</v>
      </c>
      <c r="G12" s="10" t="n">
        <f aca="false">B12*F12</f>
        <v>8.49</v>
      </c>
      <c r="H12" s="8" t="s">
        <v>35</v>
      </c>
      <c r="I12" s="9" t="s">
        <v>46</v>
      </c>
      <c r="J12" s="11" t="s">
        <v>47</v>
      </c>
    </row>
    <row r="13" customFormat="false" ht="23.85" hidden="false" customHeight="false" outlineLevel="0" collapsed="false">
      <c r="A13" s="12" t="n">
        <v>7</v>
      </c>
      <c r="B13" s="12" t="n">
        <v>1</v>
      </c>
      <c r="C13" s="12" t="s">
        <v>48</v>
      </c>
      <c r="D13" s="13" t="s">
        <v>49</v>
      </c>
      <c r="E13" s="12" t="s">
        <v>34</v>
      </c>
      <c r="F13" s="14" t="n">
        <v>0</v>
      </c>
      <c r="G13" s="14" t="n">
        <f aca="false">B13*F13</f>
        <v>0</v>
      </c>
      <c r="H13" s="12" t="s">
        <v>50</v>
      </c>
      <c r="I13" s="13" t="s">
        <v>51</v>
      </c>
    </row>
    <row r="14" customFormat="false" ht="23.85" hidden="false" customHeight="false" outlineLevel="0" collapsed="false">
      <c r="A14" s="8" t="n">
        <v>8</v>
      </c>
      <c r="B14" s="8" t="n">
        <v>300</v>
      </c>
      <c r="C14" s="8" t="s">
        <v>52</v>
      </c>
      <c r="D14" s="9" t="s">
        <v>53</v>
      </c>
      <c r="E14" s="8" t="s">
        <v>34</v>
      </c>
      <c r="F14" s="10" t="n">
        <v>0.0333</v>
      </c>
      <c r="G14" s="10" t="n">
        <f aca="false">B14*F14</f>
        <v>9.99</v>
      </c>
      <c r="H14" s="8" t="s">
        <v>35</v>
      </c>
      <c r="I14" s="9" t="s">
        <v>54</v>
      </c>
      <c r="J14" s="15" t="s">
        <v>55</v>
      </c>
    </row>
    <row r="15" customFormat="false" ht="14.25" hidden="false" customHeight="false" outlineLevel="0" collapsed="false">
      <c r="A15" s="16" t="s">
        <v>56</v>
      </c>
      <c r="B15" s="16"/>
      <c r="C15" s="16"/>
      <c r="D15" s="16"/>
      <c r="E15" s="16"/>
      <c r="F15" s="16"/>
      <c r="G15" s="16"/>
      <c r="H15" s="16"/>
      <c r="I15" s="16"/>
      <c r="J15" s="16"/>
    </row>
    <row r="16" customFormat="false" ht="14.25" hidden="false" customHeight="false" outlineLevel="0" collapsed="false">
      <c r="A16" s="8" t="n">
        <v>9</v>
      </c>
      <c r="B16" s="8" t="n">
        <v>3</v>
      </c>
      <c r="C16" s="8" t="s">
        <v>57</v>
      </c>
      <c r="D16" s="9" t="s">
        <v>58</v>
      </c>
      <c r="E16" s="8" t="s">
        <v>59</v>
      </c>
      <c r="F16" s="10" t="n">
        <v>0.5</v>
      </c>
      <c r="G16" s="10" t="n">
        <f aca="false">B16*F16</f>
        <v>1.5</v>
      </c>
      <c r="H16" s="8" t="s">
        <v>19</v>
      </c>
      <c r="I16" s="9" t="s">
        <v>60</v>
      </c>
      <c r="J16" s="11" t="s">
        <v>61</v>
      </c>
    </row>
    <row r="17" customFormat="false" ht="14.25" hidden="false" customHeight="false" outlineLevel="0" collapsed="false">
      <c r="A17" s="8" t="n">
        <v>10</v>
      </c>
      <c r="B17" s="8" t="n">
        <v>5</v>
      </c>
      <c r="C17" s="8" t="s">
        <v>62</v>
      </c>
      <c r="D17" s="9" t="s">
        <v>63</v>
      </c>
      <c r="E17" s="8" t="s">
        <v>64</v>
      </c>
      <c r="F17" s="10" t="n">
        <v>1.898</v>
      </c>
      <c r="G17" s="10" t="n">
        <f aca="false">B17*F17</f>
        <v>9.49</v>
      </c>
      <c r="H17" s="8" t="s">
        <v>35</v>
      </c>
      <c r="I17" s="9" t="s">
        <v>65</v>
      </c>
      <c r="J17" s="11" t="s">
        <v>66</v>
      </c>
    </row>
    <row r="18" customFormat="false" ht="14.25" hidden="false" customHeight="false" outlineLevel="0" collapsed="false">
      <c r="A18" s="12" t="n">
        <v>11</v>
      </c>
      <c r="B18" s="12" t="n">
        <v>1</v>
      </c>
      <c r="C18" s="12" t="s">
        <v>67</v>
      </c>
      <c r="D18" s="13" t="s">
        <v>68</v>
      </c>
      <c r="E18" s="12" t="s">
        <v>34</v>
      </c>
      <c r="F18" s="14" t="n">
        <v>0</v>
      </c>
      <c r="G18" s="14" t="n">
        <f aca="false">B18*F18</f>
        <v>0</v>
      </c>
      <c r="H18" s="12" t="s">
        <v>50</v>
      </c>
      <c r="I18" s="13"/>
    </row>
    <row r="19" customFormat="false" ht="14.25" hidden="false" customHeight="false" outlineLevel="0" collapsed="false">
      <c r="A19" s="16" t="s">
        <v>69</v>
      </c>
      <c r="B19" s="16"/>
      <c r="C19" s="16"/>
      <c r="D19" s="16"/>
      <c r="E19" s="16"/>
      <c r="F19" s="16"/>
      <c r="G19" s="16"/>
      <c r="H19" s="16"/>
      <c r="I19" s="16"/>
    </row>
    <row r="20" customFormat="false" ht="14.25" hidden="false" customHeight="false" outlineLevel="0" collapsed="false">
      <c r="A20" s="12" t="n">
        <v>12</v>
      </c>
      <c r="B20" s="12" t="n">
        <v>3</v>
      </c>
      <c r="C20" s="12" t="s">
        <v>70</v>
      </c>
      <c r="D20" s="13" t="s">
        <v>71</v>
      </c>
      <c r="E20" s="12" t="s">
        <v>64</v>
      </c>
      <c r="F20" s="14" t="n">
        <v>0</v>
      </c>
      <c r="G20" s="14" t="n">
        <f aca="false">B20*F20</f>
        <v>0</v>
      </c>
      <c r="H20" s="12" t="s">
        <v>50</v>
      </c>
      <c r="I20" s="13" t="s">
        <v>72</v>
      </c>
      <c r="J20" s="11" t="s">
        <v>73</v>
      </c>
    </row>
    <row r="21" customFormat="false" ht="14.25" hidden="false" customHeight="false" outlineLevel="0" collapsed="false">
      <c r="A21" s="16" t="s">
        <v>74</v>
      </c>
      <c r="B21" s="16"/>
      <c r="C21" s="16"/>
      <c r="D21" s="16"/>
      <c r="E21" s="16"/>
      <c r="F21" s="16"/>
      <c r="G21" s="16"/>
      <c r="H21" s="16"/>
      <c r="I21" s="16"/>
    </row>
    <row r="22" customFormat="false" ht="14.25" hidden="false" customHeight="false" outlineLevel="0" collapsed="false">
      <c r="A22" s="8" t="n">
        <v>13</v>
      </c>
      <c r="B22" s="8" t="n">
        <v>1</v>
      </c>
      <c r="C22" s="8" t="s">
        <v>75</v>
      </c>
      <c r="D22" s="9" t="s">
        <v>76</v>
      </c>
      <c r="E22" s="8" t="s">
        <v>40</v>
      </c>
      <c r="F22" s="10" t="n">
        <v>29.67</v>
      </c>
      <c r="G22" s="10" t="n">
        <f aca="false">B22*F22</f>
        <v>29.67</v>
      </c>
      <c r="H22" s="8" t="s">
        <v>77</v>
      </c>
      <c r="I22" s="9" t="s">
        <v>78</v>
      </c>
      <c r="J22" s="11" t="s">
        <v>79</v>
      </c>
    </row>
    <row r="23" customFormat="false" ht="14.25" hidden="false" customHeight="false" outlineLevel="0" collapsed="false">
      <c r="A23" s="8" t="n">
        <v>14</v>
      </c>
      <c r="B23" s="8" t="n">
        <v>1</v>
      </c>
      <c r="C23" s="8" t="s">
        <v>80</v>
      </c>
      <c r="D23" s="9" t="s">
        <v>81</v>
      </c>
      <c r="E23" s="8" t="s">
        <v>64</v>
      </c>
      <c r="F23" s="10" t="n">
        <v>9.95</v>
      </c>
      <c r="G23" s="10" t="n">
        <f aca="false">B23*F23</f>
        <v>9.95</v>
      </c>
      <c r="H23" s="8" t="s">
        <v>19</v>
      </c>
      <c r="I23" s="9" t="s">
        <v>82</v>
      </c>
      <c r="J23" s="11" t="s">
        <v>83</v>
      </c>
    </row>
    <row r="24" customFormat="false" ht="14.25" hidden="false" customHeight="false" outlineLevel="0" collapsed="false">
      <c r="A24" s="8" t="n">
        <v>15</v>
      </c>
      <c r="B24" s="8" t="n">
        <v>4</v>
      </c>
      <c r="C24" s="8" t="s">
        <v>84</v>
      </c>
      <c r="D24" s="9" t="s">
        <v>85</v>
      </c>
      <c r="E24" s="8" t="s">
        <v>45</v>
      </c>
      <c r="F24" s="10" t="n">
        <v>1.7475</v>
      </c>
      <c r="G24" s="10" t="n">
        <f aca="false">B24*F24</f>
        <v>6.99</v>
      </c>
      <c r="H24" s="8" t="s">
        <v>35</v>
      </c>
      <c r="I24" s="9" t="s">
        <v>86</v>
      </c>
      <c r="J24" s="11" t="s">
        <v>87</v>
      </c>
    </row>
    <row r="25" customFormat="false" ht="14.25" hidden="false" customHeight="false" outlineLevel="0" collapsed="false">
      <c r="A25" s="12" t="n">
        <v>16</v>
      </c>
      <c r="B25" s="12" t="n">
        <v>1</v>
      </c>
      <c r="C25" s="12" t="s">
        <v>88</v>
      </c>
      <c r="D25" s="13" t="s">
        <v>89</v>
      </c>
      <c r="E25" s="12" t="s">
        <v>64</v>
      </c>
      <c r="F25" s="14" t="n">
        <v>0</v>
      </c>
      <c r="G25" s="14" t="n">
        <f aca="false">B25*F25</f>
        <v>0</v>
      </c>
      <c r="H25" s="12" t="s">
        <v>50</v>
      </c>
      <c r="I25" s="13" t="s">
        <v>90</v>
      </c>
    </row>
    <row r="26" customFormat="false" ht="14.25" hidden="false" customHeight="false" outlineLevel="0" collapsed="false">
      <c r="A26" s="16" t="s">
        <v>91</v>
      </c>
      <c r="B26" s="16"/>
      <c r="C26" s="16"/>
      <c r="D26" s="16"/>
      <c r="E26" s="16"/>
      <c r="F26" s="16"/>
      <c r="G26" s="16"/>
      <c r="H26" s="16"/>
      <c r="I26" s="16"/>
      <c r="J26" s="16"/>
    </row>
    <row r="27" customFormat="false" ht="14.25" hidden="false" customHeight="false" outlineLevel="0" collapsed="false">
      <c r="A27" s="8" t="n">
        <v>17</v>
      </c>
      <c r="B27" s="8" t="n">
        <v>6</v>
      </c>
      <c r="C27" s="8" t="s">
        <v>92</v>
      </c>
      <c r="D27" s="9" t="s">
        <v>93</v>
      </c>
      <c r="E27" s="8" t="s">
        <v>34</v>
      </c>
      <c r="F27" s="10" t="n">
        <v>1.48</v>
      </c>
      <c r="G27" s="10" t="n">
        <f aca="false">B27*F27</f>
        <v>8.88</v>
      </c>
      <c r="H27" s="8" t="s">
        <v>35</v>
      </c>
      <c r="I27" s="9" t="s">
        <v>94</v>
      </c>
      <c r="J27" s="11" t="s">
        <v>95</v>
      </c>
    </row>
    <row r="28" customFormat="false" ht="14.25" hidden="false" customHeight="false" outlineLevel="0" collapsed="false">
      <c r="A28" s="12" t="n">
        <v>18</v>
      </c>
      <c r="B28" s="12" t="n">
        <v>1</v>
      </c>
      <c r="C28" s="12" t="s">
        <v>96</v>
      </c>
      <c r="D28" s="13" t="s">
        <v>97</v>
      </c>
      <c r="E28" s="12" t="s">
        <v>64</v>
      </c>
      <c r="F28" s="14" t="n">
        <v>0</v>
      </c>
      <c r="G28" s="14" t="n">
        <f aca="false">B28*F28</f>
        <v>0</v>
      </c>
      <c r="H28" s="12" t="s">
        <v>50</v>
      </c>
      <c r="I28" s="13" t="s">
        <v>98</v>
      </c>
    </row>
    <row r="29" customFormat="false" ht="23.85" hidden="false" customHeight="false" outlineLevel="0" collapsed="false">
      <c r="A29" s="12" t="n">
        <v>19</v>
      </c>
      <c r="B29" s="12" t="n">
        <v>1</v>
      </c>
      <c r="C29" s="12" t="s">
        <v>99</v>
      </c>
      <c r="D29" s="13" t="s">
        <v>100</v>
      </c>
      <c r="E29" s="12" t="s">
        <v>34</v>
      </c>
      <c r="F29" s="14" t="n">
        <v>0</v>
      </c>
      <c r="G29" s="14" t="n">
        <f aca="false">B29*F29</f>
        <v>0</v>
      </c>
      <c r="H29" s="12" t="s">
        <v>50</v>
      </c>
      <c r="I29" s="13"/>
    </row>
    <row r="30" customFormat="false" ht="14.25" hidden="false" customHeight="false" outlineLevel="0" collapsed="false">
      <c r="A30" s="17" t="s">
        <v>101</v>
      </c>
      <c r="B30" s="17"/>
      <c r="C30" s="17"/>
      <c r="D30" s="17"/>
      <c r="E30" s="17"/>
      <c r="F30" s="17"/>
      <c r="G30" s="17"/>
      <c r="H30" s="17"/>
      <c r="I30" s="17"/>
      <c r="J30" s="17"/>
    </row>
    <row r="31" customFormat="false" ht="14.25" hidden="false" customHeight="false" outlineLevel="0" collapsed="false">
      <c r="A31" s="8" t="n">
        <v>20</v>
      </c>
      <c r="B31" s="8" t="n">
        <v>1</v>
      </c>
      <c r="C31" s="8" t="s">
        <v>102</v>
      </c>
      <c r="D31" s="9" t="s">
        <v>103</v>
      </c>
      <c r="E31" s="8" t="s">
        <v>34</v>
      </c>
      <c r="F31" s="10" t="n">
        <v>1.23</v>
      </c>
      <c r="G31" s="10" t="n">
        <f aca="false">B31*F31</f>
        <v>1.23</v>
      </c>
      <c r="H31" s="8" t="s">
        <v>19</v>
      </c>
      <c r="I31" s="9" t="s">
        <v>104</v>
      </c>
      <c r="J31" s="11" t="s">
        <v>105</v>
      </c>
    </row>
    <row r="32" customFormat="false" ht="14.25" hidden="false" customHeight="false" outlineLevel="0" collapsed="false">
      <c r="A32" s="8" t="n">
        <v>21</v>
      </c>
      <c r="B32" s="8" t="n">
        <v>560</v>
      </c>
      <c r="C32" s="8" t="s">
        <v>106</v>
      </c>
      <c r="D32" s="9" t="s">
        <v>107</v>
      </c>
      <c r="E32" s="8" t="s">
        <v>108</v>
      </c>
      <c r="F32" s="10" t="n">
        <v>0.01248</v>
      </c>
      <c r="G32" s="10" t="n">
        <f aca="false">B32*F32</f>
        <v>6.9888</v>
      </c>
      <c r="H32" s="8" t="s">
        <v>35</v>
      </c>
      <c r="I32" s="9" t="s">
        <v>109</v>
      </c>
      <c r="J32" s="11" t="s">
        <v>110</v>
      </c>
    </row>
    <row r="33" customFormat="false" ht="14.25" hidden="false" customHeight="false" outlineLevel="0" collapsed="false">
      <c r="A33" s="12" t="n">
        <v>22</v>
      </c>
      <c r="B33" s="12" t="n">
        <v>2</v>
      </c>
      <c r="C33" s="12" t="s">
        <v>111</v>
      </c>
      <c r="D33" s="13" t="s">
        <v>112</v>
      </c>
      <c r="E33" s="12" t="s">
        <v>108</v>
      </c>
      <c r="F33" s="14" t="n">
        <v>0</v>
      </c>
      <c r="G33" s="14" t="n">
        <f aca="false">B33*F33</f>
        <v>0</v>
      </c>
      <c r="H33" s="12" t="s">
        <v>50</v>
      </c>
      <c r="I33" s="13"/>
    </row>
    <row r="34" customFormat="false" ht="14.25" hidden="false" customHeight="false" outlineLevel="0" collapsed="false">
      <c r="A34" s="8" t="n">
        <v>23</v>
      </c>
      <c r="B34" s="8" t="n">
        <v>4</v>
      </c>
      <c r="C34" s="8" t="s">
        <v>113</v>
      </c>
      <c r="D34" s="9" t="s">
        <v>114</v>
      </c>
      <c r="E34" s="8" t="s">
        <v>108</v>
      </c>
      <c r="F34" s="10" t="n">
        <v>2.4975</v>
      </c>
      <c r="G34" s="10" t="n">
        <f aca="false">B34*F34</f>
        <v>9.99</v>
      </c>
      <c r="H34" s="8" t="s">
        <v>35</v>
      </c>
      <c r="I34" s="9" t="s">
        <v>115</v>
      </c>
      <c r="J34" s="11" t="s">
        <v>116</v>
      </c>
    </row>
    <row r="35" customFormat="false" ht="14.25" hidden="false" customHeight="false" outlineLevel="0" collapsed="false">
      <c r="A35" s="18" t="n">
        <v>24</v>
      </c>
      <c r="B35" s="18" t="n">
        <v>1</v>
      </c>
      <c r="C35" s="18" t="s">
        <v>117</v>
      </c>
      <c r="D35" s="19" t="s">
        <v>118</v>
      </c>
      <c r="E35" s="18" t="s">
        <v>108</v>
      </c>
      <c r="F35" s="20" t="n">
        <v>10</v>
      </c>
      <c r="G35" s="20" t="n">
        <f aca="false">B35*F35</f>
        <v>10</v>
      </c>
      <c r="H35" s="18" t="s">
        <v>119</v>
      </c>
      <c r="I35" s="19" t="s">
        <v>120</v>
      </c>
    </row>
    <row r="36" customFormat="false" ht="14.25" hidden="false" customHeight="false" outlineLevel="0" collapsed="false">
      <c r="A36" s="16" t="s">
        <v>121</v>
      </c>
      <c r="B36" s="16"/>
      <c r="C36" s="16"/>
      <c r="D36" s="16"/>
      <c r="E36" s="16"/>
      <c r="F36" s="16"/>
      <c r="G36" s="16"/>
      <c r="H36" s="16"/>
      <c r="I36" s="16"/>
      <c r="J36" s="16"/>
    </row>
    <row r="37" customFormat="false" ht="14.25" hidden="false" customHeight="false" outlineLevel="0" collapsed="false">
      <c r="A37" s="12" t="n">
        <v>25</v>
      </c>
      <c r="B37" s="12" t="n">
        <v>1</v>
      </c>
      <c r="C37" s="12" t="s">
        <v>122</v>
      </c>
      <c r="D37" s="13" t="s">
        <v>123</v>
      </c>
      <c r="E37" s="12" t="s">
        <v>108</v>
      </c>
      <c r="F37" s="14" t="n">
        <v>0</v>
      </c>
      <c r="G37" s="14" t="n">
        <f aca="false">B37*F37</f>
        <v>0</v>
      </c>
      <c r="H37" s="12" t="s">
        <v>50</v>
      </c>
      <c r="I37" s="13" t="s">
        <v>124</v>
      </c>
      <c r="J37" s="11" t="s">
        <v>125</v>
      </c>
    </row>
    <row r="38" customFormat="false" ht="14.25" hidden="false" customHeight="false" outlineLevel="0" collapsed="false">
      <c r="A38" s="12" t="n">
        <v>26</v>
      </c>
      <c r="B38" s="12" t="n">
        <v>1</v>
      </c>
      <c r="C38" s="12" t="s">
        <v>126</v>
      </c>
      <c r="D38" s="13" t="s">
        <v>127</v>
      </c>
      <c r="E38" s="12" t="s">
        <v>108</v>
      </c>
      <c r="F38" s="14" t="n">
        <v>0</v>
      </c>
      <c r="G38" s="14" t="n">
        <f aca="false">B38*F38</f>
        <v>0</v>
      </c>
      <c r="H38" s="12" t="s">
        <v>50</v>
      </c>
      <c r="I38" s="13" t="s">
        <v>128</v>
      </c>
      <c r="J38" s="11" t="s">
        <v>125</v>
      </c>
    </row>
    <row r="39" customFormat="false" ht="14.25" hidden="false" customHeight="false" outlineLevel="0" collapsed="false">
      <c r="A39" s="8" t="n">
        <v>27</v>
      </c>
      <c r="B39" s="8" t="n">
        <v>0</v>
      </c>
      <c r="C39" s="8" t="s">
        <v>129</v>
      </c>
      <c r="D39" s="9" t="s">
        <v>130</v>
      </c>
      <c r="E39" s="8" t="s">
        <v>64</v>
      </c>
      <c r="F39" s="10" t="n">
        <v>8</v>
      </c>
      <c r="G39" s="10" t="n">
        <f aca="false">B39*F39</f>
        <v>0</v>
      </c>
      <c r="H39" s="8" t="s">
        <v>131</v>
      </c>
      <c r="I39" s="9" t="s">
        <v>132</v>
      </c>
    </row>
    <row r="41" customFormat="false" ht="14.25" hidden="false" customHeight="false" outlineLevel="0" collapsed="false">
      <c r="D41" s="21" t="s">
        <v>133</v>
      </c>
      <c r="G41" s="22" t="n">
        <f aca="false">SUMIF($H$7:$H$39,"DigiKey",$G$7:$G$39)+SUMIF($H$7:$H$39,"DigiKey MP",$G$7:$G$39)+SUMIF($H$7:$H$39,"Amazon",$G$7:$G$39)</f>
        <v>149.5468</v>
      </c>
    </row>
    <row r="42" customFormat="false" ht="14.25" hidden="false" customHeight="false" outlineLevel="0" collapsed="false">
      <c r="D42" s="2" t="s">
        <v>134</v>
      </c>
      <c r="G42" s="23" t="n">
        <v>50.47</v>
      </c>
    </row>
    <row r="43" customFormat="false" ht="14.25" hidden="false" customHeight="false" outlineLevel="0" collapsed="false">
      <c r="D43" s="21" t="s">
        <v>135</v>
      </c>
      <c r="G43" s="24" t="n">
        <f aca="false">G41+G42</f>
        <v>200.0168</v>
      </c>
    </row>
    <row r="44" customFormat="false" ht="14.25" hidden="false" customHeight="false" outlineLevel="0" collapsed="false">
      <c r="D44" s="2" t="s">
        <v>136</v>
      </c>
      <c r="G44" s="25" t="n">
        <f aca="false">SUMIF($H$7:$H$39,"NOT BOUGHT",$G$7:$G$39)</f>
        <v>10</v>
      </c>
    </row>
    <row r="45" customFormat="false" ht="14.25" hidden="false" customHeight="false" outlineLevel="0" collapsed="false">
      <c r="D45" s="2" t="s">
        <v>137</v>
      </c>
      <c r="G45" s="26" t="n">
        <v>0</v>
      </c>
    </row>
    <row r="46" customFormat="false" ht="15" hidden="false" customHeight="true" outlineLevel="0" collapsed="false"/>
    <row r="47" customFormat="false" ht="15" hidden="false" customHeight="true" outlineLevel="0" collapsed="false">
      <c r="A47" s="27" t="s">
        <v>13</v>
      </c>
      <c r="B47" s="27"/>
      <c r="C47" s="27"/>
      <c r="D47" s="27"/>
      <c r="E47" s="27"/>
      <c r="F47" s="27"/>
      <c r="G47" s="27"/>
      <c r="H47" s="27"/>
      <c r="I47" s="27"/>
    </row>
    <row r="48" customFormat="false" ht="15" hidden="false" customHeight="true" outlineLevel="0" collapsed="false">
      <c r="A48" s="28" t="s">
        <v>138</v>
      </c>
      <c r="B48" s="28"/>
      <c r="C48" s="28"/>
      <c r="D48" s="28"/>
      <c r="E48" s="28"/>
      <c r="F48" s="28"/>
      <c r="G48" s="28"/>
      <c r="H48" s="28"/>
      <c r="I48" s="28"/>
    </row>
    <row r="49" customFormat="false" ht="15" hidden="false" customHeight="true" outlineLevel="0" collapsed="false">
      <c r="A49" s="28" t="s">
        <v>139</v>
      </c>
      <c r="B49" s="28"/>
      <c r="C49" s="28"/>
      <c r="D49" s="28"/>
      <c r="E49" s="28"/>
      <c r="F49" s="28"/>
      <c r="G49" s="28"/>
      <c r="H49" s="28"/>
      <c r="I49" s="28"/>
    </row>
    <row r="50" customFormat="false" ht="21.75" hidden="false" customHeight="true" outlineLevel="0" collapsed="false">
      <c r="A50" s="28" t="s">
        <v>140</v>
      </c>
      <c r="B50" s="28"/>
      <c r="C50" s="28"/>
      <c r="D50" s="28"/>
      <c r="E50" s="28"/>
      <c r="F50" s="28"/>
      <c r="G50" s="28"/>
      <c r="H50" s="28"/>
      <c r="I50" s="28"/>
    </row>
    <row r="51" customFormat="false" ht="15" hidden="false" customHeight="true" outlineLevel="0" collapsed="false">
      <c r="A51" s="28" t="s">
        <v>141</v>
      </c>
      <c r="B51" s="28"/>
      <c r="C51" s="28"/>
      <c r="D51" s="28"/>
      <c r="E51" s="28"/>
      <c r="F51" s="28"/>
      <c r="G51" s="28"/>
      <c r="H51" s="28"/>
      <c r="I51" s="28"/>
    </row>
    <row r="52" customFormat="false" ht="15" hidden="false" customHeight="true" outlineLevel="0" collapsed="false">
      <c r="A52" s="28" t="s">
        <v>142</v>
      </c>
      <c r="B52" s="28"/>
      <c r="C52" s="28"/>
      <c r="D52" s="28"/>
      <c r="E52" s="28"/>
      <c r="F52" s="28"/>
      <c r="G52" s="28"/>
      <c r="H52" s="28"/>
      <c r="I52" s="28"/>
    </row>
    <row r="53" customFormat="false" ht="14.25" hidden="false" customHeight="true" outlineLevel="0" collapsed="false">
      <c r="A53" s="28" t="s">
        <v>143</v>
      </c>
      <c r="B53" s="28"/>
      <c r="C53" s="28"/>
      <c r="D53" s="28"/>
      <c r="E53" s="28"/>
      <c r="F53" s="28"/>
      <c r="G53" s="28"/>
      <c r="H53" s="28"/>
      <c r="I53" s="28"/>
    </row>
  </sheetData>
  <mergeCells count="8">
    <mergeCell ref="A30:J30"/>
    <mergeCell ref="A47:I47"/>
    <mergeCell ref="A48:I48"/>
    <mergeCell ref="A49:I49"/>
    <mergeCell ref="A50:I50"/>
    <mergeCell ref="A51:I51"/>
    <mergeCell ref="A52:I52"/>
    <mergeCell ref="A53:I53"/>
  </mergeCells>
  <hyperlinks>
    <hyperlink ref="J7" r:id="rId1" display="https://www.digikey.com/en/products/detail/texas-instruments/ADS7883SBDBVR/2047152?s=N4IgTCBcDa4JwDYC0AWAHOgDEgjEgcgCIgC6AvkA"/>
    <hyperlink ref="J8" r:id="rId2" display="https://www.digikey.com/en/products/detail/microchip-technology/MCP6292-E-P/574102?s=N4IgTCBcDaILIGEAKA2MBOMBaAogeiSwDkAREAXQF8g"/>
    <hyperlink ref="J9" r:id="rId3" display="https://www.digikey.com/en/products/detail/smc-diode-solutions/BAV99/6022507?s=N4IgTCBcDaIIwDYCsSC0AhAggNQJy4GEAVVAOQBEQBdAXyA"/>
    <hyperlink ref="J10" r:id="rId4" display="https://a.co/d/0cBGTOYl"/>
    <hyperlink ref="J11" r:id="rId5" display="https://a.co/d/0bSwA5N5"/>
    <hyperlink ref="J12" r:id="rId6" display="https://a.co/d/09HmNMVi"/>
    <hyperlink ref="J16" r:id="rId7" display="https://www.digikey.com/en/products/detail/microchip-technology/MCP1700-3302E-TO/652680?s=N4IgTCBcDaILIGEAKBGA7ABgwWgMy4zAFEB6AFQHlsA5AEQAIQBdAXyA"/>
    <hyperlink ref="J17" r:id="rId8" display="https://a.co/d/02AsqIvb"/>
    <hyperlink ref="J20" r:id="rId9" display="https://a.co/d/0bcMUA3H"/>
    <hyperlink ref="J22" r:id="rId10" display="https://www.digikey.com/en/products/detail/orient-display/AFY800480B0-7-0N12NTM-C/12089250?s=N4IgTCBcDa4KwBYEFoCCAxAmgDgAy4TwCFdkB2EAXQF8g"/>
    <hyperlink ref="J23" r:id="rId11" display="https://www.digikey.com/en/products/detail/adafruit-industries-llc/1932/5761222?s=N4IgTCBcDaIAQEYCsYAcBaBAWJX0DkAREAXQF8g"/>
    <hyperlink ref="J24" r:id="rId12" display="https://a.co/d/07UskTTP"/>
    <hyperlink ref="J27" r:id="rId13" display="https://a.co/d/0f5mQg6T"/>
    <hyperlink ref="J31" r:id="rId14" display="https://www.digikey.com/en/products/detail/sullins-connector-solutions/PRPC040SAAN-RC/2775214?s=N4IgTCBcDaIAQGUCMAGJSCiBhAtAFhRwDkAROEAXQF8g"/>
    <hyperlink ref="J32" r:id="rId15" display="https://a.co/d/04z6zcu7"/>
    <hyperlink ref="J37" r:id="rId16" display="https://a.co/d/01g446Bb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2026-09-15T01:43:47Z</dcterms:created>
  <dc:creator>openpyxl</dc:creator>
  <dc:description/>
  <dc:language>en-US</dc:language>
  <cp:lastModifiedBy>Paul Simbulan</cp:lastModifiedBy>
  <dcterms:modified xsi:type="dcterms:W3CDTF">2026-09-22T00:12:16Z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